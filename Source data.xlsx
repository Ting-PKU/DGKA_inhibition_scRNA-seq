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F:\博后工作\DGKA\IMeta\Correspo\20260204 proof\"/>
    </mc:Choice>
  </mc:AlternateContent>
  <xr:revisionPtr revIDLastSave="0" documentId="13_ncr:1_{8459E1B0-FD58-4E81-9340-1C24F865885B}" xr6:coauthVersionLast="47" xr6:coauthVersionMax="47" xr10:uidLastSave="{00000000-0000-0000-0000-000000000000}"/>
  <bookViews>
    <workbookView xWindow="-98" yWindow="-98" windowWidth="23236" windowHeight="13875" tabRatio="799" firstSheet="4" activeTab="16" xr2:uid="{00000000-000D-0000-FFFF-FFFF00000000}"/>
  </bookViews>
  <sheets>
    <sheet name="Figure 1" sheetId="3" r:id="rId1"/>
    <sheet name="Figure 2" sheetId="4" r:id="rId2"/>
    <sheet name="FigureS1" sheetId="1" r:id="rId3"/>
    <sheet name="FigureS2" sheetId="2" r:id="rId4"/>
    <sheet name="FigureS5" sheetId="19" r:id="rId5"/>
    <sheet name="FigureS6" sheetId="16" r:id="rId6"/>
    <sheet name="FigureS12" sheetId="20" r:id="rId7"/>
    <sheet name="FigureS13" sheetId="5" r:id="rId8"/>
    <sheet name="Figure S14" sheetId="8" r:id="rId9"/>
    <sheet name="FigureS15" sheetId="18" r:id="rId10"/>
    <sheet name="FigureS16" sheetId="21" r:id="rId11"/>
    <sheet name="FigureS17" sheetId="6" r:id="rId12"/>
    <sheet name="FigureS18" sheetId="9" r:id="rId13"/>
    <sheet name="FigureS19" sheetId="7" r:id="rId14"/>
    <sheet name="FigureS20" sheetId="22" r:id="rId15"/>
    <sheet name="Figure S21" sheetId="10" r:id="rId16"/>
    <sheet name="Figure S22" sheetId="17" r:id="rId17"/>
  </sheets>
  <calcPr calcId="181029"/>
</workbook>
</file>

<file path=xl/calcChain.xml><?xml version="1.0" encoding="utf-8"?>
<calcChain xmlns="http://schemas.openxmlformats.org/spreadsheetml/2006/main">
  <c r="F33" i="17" l="1"/>
  <c r="G33" i="17"/>
  <c r="H33" i="17"/>
  <c r="E33" i="17"/>
  <c r="F32" i="17"/>
  <c r="G32" i="17"/>
  <c r="H32" i="17"/>
  <c r="E32" i="17"/>
  <c r="F16" i="17"/>
  <c r="G16" i="17"/>
  <c r="H16" i="17"/>
  <c r="E16" i="17"/>
  <c r="F15" i="17"/>
  <c r="G15" i="17"/>
  <c r="H15" i="17"/>
  <c r="E15" i="17"/>
  <c r="Q9" i="4"/>
  <c r="P9" i="4"/>
  <c r="Q8" i="4"/>
  <c r="P8" i="4"/>
  <c r="E23" i="20"/>
  <c r="F23" i="20"/>
  <c r="D23" i="20"/>
  <c r="E22" i="20"/>
  <c r="F22" i="20"/>
  <c r="D22" i="20"/>
  <c r="E10" i="20"/>
  <c r="F10" i="20"/>
  <c r="D10" i="20"/>
  <c r="E9" i="20"/>
  <c r="F9" i="20"/>
  <c r="D9" i="20"/>
  <c r="N83" i="17"/>
  <c r="O83" i="17"/>
  <c r="P83" i="17"/>
  <c r="M83" i="17"/>
  <c r="N82" i="17"/>
  <c r="O82" i="17"/>
  <c r="P82" i="17"/>
  <c r="M82" i="17"/>
  <c r="N70" i="17"/>
  <c r="O70" i="17"/>
  <c r="P70" i="17"/>
  <c r="M70" i="17"/>
  <c r="N69" i="17"/>
  <c r="O69" i="17"/>
  <c r="P69" i="17"/>
  <c r="M69" i="17"/>
  <c r="D83" i="17" l="1"/>
  <c r="E83" i="17"/>
  <c r="F83" i="17"/>
  <c r="H83" i="17"/>
  <c r="I83" i="17"/>
  <c r="J83" i="17"/>
  <c r="K83" i="17"/>
  <c r="C83" i="17"/>
  <c r="D82" i="17"/>
  <c r="E82" i="17"/>
  <c r="F82" i="17"/>
  <c r="H82" i="17"/>
  <c r="I82" i="17"/>
  <c r="J82" i="17"/>
  <c r="K82" i="17"/>
  <c r="C82" i="17"/>
  <c r="D70" i="17"/>
  <c r="E70" i="17"/>
  <c r="F70" i="17"/>
  <c r="H70" i="17"/>
  <c r="I70" i="17"/>
  <c r="J70" i="17"/>
  <c r="K70" i="17"/>
  <c r="C70" i="17"/>
  <c r="D69" i="17"/>
  <c r="E69" i="17"/>
  <c r="F69" i="17"/>
  <c r="H69" i="17"/>
  <c r="I69" i="17"/>
  <c r="J69" i="17"/>
  <c r="K69" i="17"/>
  <c r="C69" i="17"/>
  <c r="M59" i="3"/>
  <c r="M60" i="3"/>
  <c r="M61" i="3"/>
  <c r="M62" i="3"/>
  <c r="M63" i="3"/>
  <c r="M58" i="3"/>
  <c r="L59" i="3"/>
  <c r="L60" i="3"/>
  <c r="L61" i="3"/>
  <c r="L62" i="3"/>
  <c r="L63" i="3"/>
  <c r="L58" i="3"/>
  <c r="H59" i="3"/>
  <c r="H60" i="3"/>
  <c r="H61" i="3"/>
  <c r="H62" i="3"/>
  <c r="H63" i="3"/>
  <c r="H58" i="3"/>
  <c r="G59" i="3"/>
  <c r="G60" i="3"/>
  <c r="G61" i="3"/>
  <c r="G62" i="3"/>
  <c r="G63" i="3"/>
  <c r="G58" i="3"/>
  <c r="G38" i="4"/>
  <c r="H38" i="4"/>
  <c r="J38" i="4"/>
  <c r="K38" i="4"/>
  <c r="E38" i="4"/>
  <c r="D38" i="4"/>
  <c r="K37" i="4"/>
  <c r="J37" i="4"/>
  <c r="H37" i="4"/>
  <c r="G37" i="4"/>
  <c r="E37" i="4"/>
  <c r="D37" i="4"/>
  <c r="L29" i="10" l="1"/>
  <c r="K29" i="10"/>
  <c r="J29" i="10"/>
  <c r="I29" i="10"/>
  <c r="G29" i="10"/>
  <c r="F29" i="10"/>
  <c r="E29" i="10"/>
  <c r="D29" i="10"/>
  <c r="L28" i="10"/>
  <c r="K28" i="10"/>
  <c r="J28" i="10"/>
  <c r="I28" i="10"/>
  <c r="G28" i="10"/>
  <c r="F28" i="10"/>
  <c r="E28" i="10"/>
  <c r="D28" i="10"/>
  <c r="L22" i="10"/>
  <c r="K22" i="10"/>
  <c r="J22" i="10"/>
  <c r="I22" i="10"/>
  <c r="G22" i="10"/>
  <c r="F22" i="10"/>
  <c r="E22" i="10"/>
  <c r="D22" i="10"/>
  <c r="L21" i="10"/>
  <c r="K21" i="10"/>
  <c r="J21" i="10"/>
  <c r="I21" i="10"/>
  <c r="G21" i="10"/>
  <c r="F21" i="10"/>
  <c r="E21" i="10"/>
  <c r="D21" i="10"/>
  <c r="L15" i="10"/>
  <c r="K15" i="10"/>
  <c r="J15" i="10"/>
  <c r="I15" i="10"/>
  <c r="G15" i="10"/>
  <c r="F15" i="10"/>
  <c r="E15" i="10"/>
  <c r="D15" i="10"/>
  <c r="L14" i="10"/>
  <c r="K14" i="10"/>
  <c r="J14" i="10"/>
  <c r="I14" i="10"/>
  <c r="G14" i="10"/>
  <c r="F14" i="10"/>
  <c r="E14" i="10"/>
  <c r="D14" i="10"/>
  <c r="L8" i="10"/>
  <c r="K8" i="10"/>
  <c r="J8" i="10"/>
  <c r="I8" i="10"/>
  <c r="G8" i="10"/>
  <c r="F8" i="10"/>
  <c r="E8" i="10"/>
  <c r="D8" i="10"/>
  <c r="L7" i="10"/>
  <c r="K7" i="10"/>
  <c r="J7" i="10"/>
  <c r="I7" i="10"/>
  <c r="G7" i="10"/>
  <c r="F7" i="10"/>
  <c r="E7" i="10"/>
  <c r="D7" i="10"/>
  <c r="G16" i="9"/>
  <c r="F16" i="9"/>
  <c r="D16" i="9"/>
  <c r="C16" i="9"/>
  <c r="G15" i="9"/>
  <c r="F15" i="9"/>
  <c r="D15" i="9"/>
  <c r="C15" i="9"/>
  <c r="G8" i="9"/>
  <c r="F8" i="9"/>
  <c r="D8" i="9"/>
  <c r="C8" i="9"/>
  <c r="G7" i="9"/>
  <c r="F7" i="9"/>
  <c r="D7" i="9"/>
  <c r="C7" i="9"/>
  <c r="K80" i="7"/>
  <c r="J80" i="7"/>
  <c r="I80" i="7"/>
  <c r="H80" i="7"/>
  <c r="F80" i="7"/>
  <c r="E80" i="7"/>
  <c r="D80" i="7"/>
  <c r="C80" i="7"/>
  <c r="K79" i="7"/>
  <c r="J79" i="7"/>
  <c r="I79" i="7"/>
  <c r="H79" i="7"/>
  <c r="F79" i="7"/>
  <c r="E79" i="7"/>
  <c r="D79" i="7"/>
  <c r="C79" i="7"/>
  <c r="K73" i="7"/>
  <c r="J73" i="7"/>
  <c r="I73" i="7"/>
  <c r="H73" i="7"/>
  <c r="F73" i="7"/>
  <c r="E73" i="7"/>
  <c r="D73" i="7"/>
  <c r="C73" i="7"/>
  <c r="K72" i="7"/>
  <c r="J72" i="7"/>
  <c r="I72" i="7"/>
  <c r="H72" i="7"/>
  <c r="F72" i="7"/>
  <c r="E72" i="7"/>
  <c r="D72" i="7"/>
  <c r="C72" i="7"/>
  <c r="K66" i="7"/>
  <c r="J66" i="7"/>
  <c r="I66" i="7"/>
  <c r="H66" i="7"/>
  <c r="F66" i="7"/>
  <c r="E66" i="7"/>
  <c r="D66" i="7"/>
  <c r="C66" i="7"/>
  <c r="K65" i="7"/>
  <c r="J65" i="7"/>
  <c r="I65" i="7"/>
  <c r="H65" i="7"/>
  <c r="F65" i="7"/>
  <c r="E65" i="7"/>
  <c r="D65" i="7"/>
  <c r="C65" i="7"/>
  <c r="K59" i="7"/>
  <c r="J59" i="7"/>
  <c r="I59" i="7"/>
  <c r="H59" i="7"/>
  <c r="F59" i="7"/>
  <c r="E59" i="7"/>
  <c r="D59" i="7"/>
  <c r="C59" i="7"/>
  <c r="K58" i="7"/>
  <c r="J58" i="7"/>
  <c r="I58" i="7"/>
  <c r="H58" i="7"/>
  <c r="F58" i="7"/>
  <c r="E58" i="7"/>
  <c r="D58" i="7"/>
  <c r="C58" i="7"/>
  <c r="K49" i="7"/>
  <c r="J49" i="7"/>
  <c r="I49" i="7"/>
  <c r="H49" i="7"/>
  <c r="F49" i="7"/>
  <c r="E49" i="7"/>
  <c r="D49" i="7"/>
  <c r="C49" i="7"/>
  <c r="K48" i="7"/>
  <c r="J48" i="7"/>
  <c r="I48" i="7"/>
  <c r="H48" i="7"/>
  <c r="F48" i="7"/>
  <c r="E48" i="7"/>
  <c r="D48" i="7"/>
  <c r="C48" i="7"/>
  <c r="K40" i="7"/>
  <c r="J40" i="7"/>
  <c r="I40" i="7"/>
  <c r="H40" i="7"/>
  <c r="F40" i="7"/>
  <c r="E40" i="7"/>
  <c r="D40" i="7"/>
  <c r="C40" i="7"/>
  <c r="K39" i="7"/>
  <c r="J39" i="7"/>
  <c r="I39" i="7"/>
  <c r="H39" i="7"/>
  <c r="F39" i="7"/>
  <c r="E39" i="7"/>
  <c r="D39" i="7"/>
  <c r="C39" i="7"/>
  <c r="K32" i="7"/>
  <c r="J32" i="7"/>
  <c r="I32" i="7"/>
  <c r="H32" i="7"/>
  <c r="F32" i="7"/>
  <c r="E32" i="7"/>
  <c r="D32" i="7"/>
  <c r="C32" i="7"/>
  <c r="K31" i="7"/>
  <c r="J31" i="7"/>
  <c r="I31" i="7"/>
  <c r="H31" i="7"/>
  <c r="F31" i="7"/>
  <c r="E31" i="7"/>
  <c r="D31" i="7"/>
  <c r="C31" i="7"/>
  <c r="L22" i="7"/>
  <c r="K22" i="7"/>
  <c r="J22" i="7"/>
  <c r="I22" i="7"/>
  <c r="F22" i="7"/>
  <c r="E22" i="7"/>
  <c r="D22" i="7"/>
  <c r="C22" i="7"/>
  <c r="L21" i="7"/>
  <c r="K21" i="7"/>
  <c r="J21" i="7"/>
  <c r="I21" i="7"/>
  <c r="F21" i="7"/>
  <c r="E21" i="7"/>
  <c r="D21" i="7"/>
  <c r="C21" i="7"/>
  <c r="AB10" i="7"/>
  <c r="AA10" i="7"/>
  <c r="Z10" i="7"/>
  <c r="Y10" i="7"/>
  <c r="X10" i="7"/>
  <c r="W10" i="7"/>
  <c r="V10" i="7"/>
  <c r="U10" i="7"/>
  <c r="T10" i="7"/>
  <c r="S10" i="7"/>
  <c r="R10" i="7"/>
  <c r="Q10" i="7"/>
  <c r="N10" i="7"/>
  <c r="M10" i="7"/>
  <c r="L10" i="7"/>
  <c r="K10" i="7"/>
  <c r="J10" i="7"/>
  <c r="I10" i="7"/>
  <c r="H10" i="7"/>
  <c r="G10" i="7"/>
  <c r="F10" i="7"/>
  <c r="E10" i="7"/>
  <c r="D10" i="7"/>
  <c r="C10" i="7"/>
  <c r="AB9" i="7"/>
  <c r="AA9" i="7"/>
  <c r="Z9" i="7"/>
  <c r="Y9" i="7"/>
  <c r="X9" i="7"/>
  <c r="W9" i="7"/>
  <c r="V9" i="7"/>
  <c r="U9" i="7"/>
  <c r="T9" i="7"/>
  <c r="S9" i="7"/>
  <c r="R9" i="7"/>
  <c r="Q9" i="7"/>
  <c r="N9" i="7"/>
  <c r="M9" i="7"/>
  <c r="L9" i="7"/>
  <c r="K9" i="7"/>
  <c r="J9" i="7"/>
  <c r="I9" i="7"/>
  <c r="H9" i="7"/>
  <c r="G9" i="7"/>
  <c r="F9" i="7"/>
  <c r="E9" i="7"/>
  <c r="D9" i="7"/>
  <c r="C9" i="7"/>
  <c r="I29" i="4"/>
  <c r="H29" i="4"/>
  <c r="F29" i="4"/>
  <c r="E29" i="4"/>
  <c r="I28" i="4"/>
  <c r="H28" i="4"/>
  <c r="F28" i="4"/>
  <c r="E28" i="4"/>
  <c r="L20" i="4"/>
  <c r="K20" i="4"/>
  <c r="I20" i="4"/>
  <c r="H20" i="4"/>
  <c r="F20" i="4"/>
  <c r="E20" i="4"/>
  <c r="L19" i="4"/>
  <c r="K19" i="4"/>
  <c r="I19" i="4"/>
  <c r="H19" i="4"/>
  <c r="F19" i="4"/>
  <c r="E19" i="4"/>
  <c r="L10" i="4"/>
  <c r="K10" i="4"/>
  <c r="J10" i="4"/>
  <c r="I10" i="4"/>
  <c r="H10" i="4"/>
  <c r="G10" i="4"/>
  <c r="F10" i="4"/>
  <c r="E10" i="4"/>
  <c r="L9" i="4"/>
  <c r="K9" i="4"/>
  <c r="J9" i="4"/>
  <c r="I9" i="4"/>
  <c r="H9" i="4"/>
  <c r="G9" i="4"/>
  <c r="F9" i="4"/>
  <c r="E9" i="4"/>
  <c r="H75" i="3"/>
  <c r="G75" i="3"/>
  <c r="F75" i="3"/>
  <c r="E75" i="3"/>
  <c r="D75" i="3"/>
  <c r="C75" i="3"/>
  <c r="H74" i="3"/>
  <c r="G74" i="3"/>
  <c r="F74" i="3"/>
  <c r="E74" i="3"/>
  <c r="D74" i="3"/>
  <c r="C74" i="3"/>
  <c r="Y50" i="3"/>
  <c r="X50" i="3"/>
  <c r="T50" i="3"/>
  <c r="S50" i="3"/>
  <c r="M50" i="3"/>
  <c r="L50" i="3"/>
  <c r="H50" i="3"/>
  <c r="G50" i="3"/>
  <c r="Y49" i="3"/>
  <c r="X49" i="3"/>
  <c r="T49" i="3"/>
  <c r="S49" i="3"/>
  <c r="M49" i="3"/>
  <c r="L49" i="3"/>
  <c r="H49" i="3"/>
  <c r="G49" i="3"/>
  <c r="Y48" i="3"/>
  <c r="X48" i="3"/>
  <c r="T48" i="3"/>
  <c r="S48" i="3"/>
  <c r="M48" i="3"/>
  <c r="L48" i="3"/>
  <c r="H48" i="3"/>
  <c r="G48" i="3"/>
  <c r="Y47" i="3"/>
  <c r="X47" i="3"/>
  <c r="T47" i="3"/>
  <c r="S47" i="3"/>
  <c r="M47" i="3"/>
  <c r="L47" i="3"/>
  <c r="H47" i="3"/>
  <c r="G47" i="3"/>
  <c r="Y46" i="3"/>
  <c r="X46" i="3"/>
  <c r="T46" i="3"/>
  <c r="S46" i="3"/>
  <c r="M46" i="3"/>
  <c r="L46" i="3"/>
  <c r="H46" i="3"/>
  <c r="G46" i="3"/>
  <c r="Y45" i="3"/>
  <c r="X45" i="3"/>
  <c r="T45" i="3"/>
  <c r="S45" i="3"/>
  <c r="M45" i="3"/>
  <c r="L45" i="3"/>
  <c r="H45" i="3"/>
  <c r="G45" i="3"/>
  <c r="H37" i="3"/>
  <c r="G37" i="3"/>
  <c r="F37" i="3"/>
  <c r="E37" i="3"/>
  <c r="D37" i="3"/>
  <c r="C37" i="3"/>
  <c r="H36" i="3"/>
  <c r="G36" i="3"/>
  <c r="F36" i="3"/>
  <c r="E36" i="3"/>
  <c r="D36" i="3"/>
  <c r="C36" i="3"/>
  <c r="I27" i="3"/>
  <c r="H27" i="3"/>
  <c r="G27" i="3"/>
  <c r="E27" i="3"/>
  <c r="D27" i="3"/>
  <c r="C27" i="3"/>
  <c r="I26" i="3"/>
  <c r="H26" i="3"/>
  <c r="G26" i="3"/>
  <c r="E26" i="3"/>
  <c r="D26" i="3"/>
  <c r="C26" i="3"/>
  <c r="F17" i="3"/>
  <c r="E17" i="3"/>
  <c r="D17" i="3"/>
  <c r="C17" i="3"/>
  <c r="F16" i="3"/>
  <c r="E16" i="3"/>
  <c r="D16" i="3"/>
  <c r="C16" i="3"/>
  <c r="H8" i="3"/>
  <c r="G8" i="3"/>
  <c r="F8" i="3"/>
  <c r="E8" i="3"/>
  <c r="D8" i="3"/>
  <c r="C8" i="3"/>
  <c r="H7" i="3"/>
  <c r="G7" i="3"/>
  <c r="F7" i="3"/>
  <c r="E7" i="3"/>
  <c r="D7" i="3"/>
  <c r="C7" i="3"/>
  <c r="P29" i="2"/>
  <c r="O29" i="2"/>
  <c r="N29" i="2"/>
  <c r="M29" i="2"/>
  <c r="K29" i="2"/>
  <c r="J29" i="2"/>
  <c r="I29" i="2"/>
  <c r="H29" i="2"/>
  <c r="F29" i="2"/>
  <c r="E29" i="2"/>
  <c r="D29" i="2"/>
  <c r="C29" i="2"/>
  <c r="P28" i="2"/>
  <c r="O28" i="2"/>
  <c r="N28" i="2"/>
  <c r="M28" i="2"/>
  <c r="K28" i="2"/>
  <c r="J28" i="2"/>
  <c r="I28" i="2"/>
  <c r="H28" i="2"/>
  <c r="F28" i="2"/>
  <c r="E28" i="2"/>
  <c r="D28" i="2"/>
  <c r="C28" i="2"/>
  <c r="S16" i="2"/>
  <c r="R16" i="2"/>
  <c r="Q16" i="2"/>
  <c r="P16" i="2"/>
  <c r="O16" i="2"/>
  <c r="M16" i="2"/>
  <c r="L16" i="2"/>
  <c r="K16" i="2"/>
  <c r="J16" i="2"/>
  <c r="I16" i="2"/>
  <c r="G16" i="2"/>
  <c r="F16" i="2"/>
  <c r="E16" i="2"/>
  <c r="D16" i="2"/>
  <c r="C16" i="2"/>
  <c r="S15" i="2"/>
  <c r="R15" i="2"/>
  <c r="Q15" i="2"/>
  <c r="P15" i="2"/>
  <c r="M15" i="2"/>
  <c r="L15" i="2"/>
  <c r="K15" i="2"/>
  <c r="J15" i="2"/>
  <c r="I15" i="2"/>
  <c r="G15" i="2"/>
  <c r="F15" i="2"/>
  <c r="E15" i="2"/>
  <c r="D15" i="2"/>
  <c r="M7" i="2"/>
  <c r="L7" i="2"/>
  <c r="K7" i="2"/>
  <c r="I7" i="2"/>
  <c r="H7" i="2"/>
  <c r="G7" i="2"/>
  <c r="E7" i="2"/>
  <c r="D7" i="2"/>
  <c r="C7" i="2"/>
  <c r="M6" i="2"/>
  <c r="L6" i="2"/>
  <c r="K6" i="2"/>
  <c r="I6" i="2"/>
  <c r="H6" i="2"/>
  <c r="G6" i="2"/>
  <c r="E6" i="2"/>
  <c r="D6" i="2"/>
  <c r="C6" i="2"/>
</calcChain>
</file>

<file path=xl/sharedStrings.xml><?xml version="1.0" encoding="utf-8"?>
<sst xmlns="http://schemas.openxmlformats.org/spreadsheetml/2006/main" count="911" uniqueCount="192">
  <si>
    <t>H-score</t>
  </si>
  <si>
    <t>DGKα</t>
  </si>
  <si>
    <t>PD-L1</t>
  </si>
  <si>
    <t>ESCC</t>
  </si>
  <si>
    <t>AEG</t>
  </si>
  <si>
    <t>GC</t>
  </si>
  <si>
    <t>CC</t>
  </si>
  <si>
    <t>RC</t>
  </si>
  <si>
    <t>HCC</t>
  </si>
  <si>
    <t>PCA</t>
  </si>
  <si>
    <t>GBC</t>
  </si>
  <si>
    <t>KYSE410</t>
  </si>
  <si>
    <t>KYSE510</t>
  </si>
  <si>
    <t>HCT116</t>
  </si>
  <si>
    <t>PD-L1 level</t>
  </si>
  <si>
    <t>Cont</t>
  </si>
  <si>
    <t>Mean</t>
  </si>
  <si>
    <t>SD</t>
  </si>
  <si>
    <t>DGKα sh1</t>
  </si>
  <si>
    <t>DGKα sh2</t>
  </si>
  <si>
    <t>DGKα sh1+PA</t>
  </si>
  <si>
    <t>DGKα sh2+PA</t>
  </si>
  <si>
    <t>Cell count</t>
  </si>
  <si>
    <t>R59022</t>
  </si>
  <si>
    <t>Cont-T cell</t>
  </si>
  <si>
    <t>R59022-T cell</t>
  </si>
  <si>
    <t>CD274 fold enrichment</t>
  </si>
  <si>
    <t>Primer 1</t>
  </si>
  <si>
    <t>Primer 2</t>
  </si>
  <si>
    <t>Primer 3</t>
  </si>
  <si>
    <t>IgG</t>
  </si>
  <si>
    <t>NF-kB</t>
  </si>
  <si>
    <t>DGKα sh</t>
  </si>
  <si>
    <t>DGKα sh+PA</t>
  </si>
  <si>
    <t>JSH23</t>
  </si>
  <si>
    <t>WB Relative intensity</t>
  </si>
  <si>
    <r>
      <rPr>
        <sz val="11"/>
        <color theme="1"/>
        <rFont val="宋体"/>
        <family val="3"/>
        <charset val="134"/>
      </rPr>
      <t>℃</t>
    </r>
  </si>
  <si>
    <t>PA</t>
  </si>
  <si>
    <t>Fluorescence ratio</t>
  </si>
  <si>
    <t>℃</t>
  </si>
  <si>
    <t>CD274 WT</t>
  </si>
  <si>
    <t>CD275 MUT</t>
  </si>
  <si>
    <t>Relative luciferase activity</t>
  </si>
  <si>
    <t>Vector</t>
  </si>
  <si>
    <t>NF-kB p65 OE</t>
  </si>
  <si>
    <t>NF-kB p66 OE+PA</t>
  </si>
  <si>
    <t>Plama PA</t>
  </si>
  <si>
    <t>Tissue PA</t>
  </si>
  <si>
    <t>Responsive</t>
  </si>
  <si>
    <t>Non-responsive</t>
  </si>
  <si>
    <t>Plasma-PA</t>
  </si>
  <si>
    <t>Tissue-PA</t>
  </si>
  <si>
    <t>Tissue-DGK</t>
  </si>
  <si>
    <t>Tumor volume</t>
  </si>
  <si>
    <t>week</t>
  </si>
  <si>
    <t>Ki67 level</t>
  </si>
  <si>
    <t>CD31 level</t>
  </si>
  <si>
    <t>LYVE1 level</t>
  </si>
  <si>
    <t>NF-kB activity</t>
  </si>
  <si>
    <t>CD3/CD45</t>
  </si>
  <si>
    <t>CD8/CD3</t>
  </si>
  <si>
    <t>GZMB/CD8</t>
  </si>
  <si>
    <t>DGKα H-score</t>
  </si>
  <si>
    <t>NF-kB H-score</t>
  </si>
  <si>
    <t>Tissue DGKa</t>
  </si>
  <si>
    <t>MC38</t>
  </si>
  <si>
    <t>MFC</t>
  </si>
  <si>
    <t>Anti-CTLA4 antibody</t>
  </si>
  <si>
    <t>LYVE1</t>
  </si>
  <si>
    <t>Ki67</t>
  </si>
  <si>
    <t>HMGB12</t>
  </si>
  <si>
    <t>MMP1</t>
  </si>
  <si>
    <t>MMP2</t>
  </si>
  <si>
    <t>MMP7</t>
  </si>
  <si>
    <t>VEGFA</t>
  </si>
  <si>
    <t>VEGFC</t>
  </si>
  <si>
    <t>CD8 level</t>
  </si>
  <si>
    <t>Cont</t>
    <phoneticPr fontId="10" type="noConversion"/>
  </si>
  <si>
    <t>R59022</t>
    <phoneticPr fontId="10" type="noConversion"/>
  </si>
  <si>
    <t>start</t>
    <phoneticPr fontId="10" type="noConversion"/>
  </si>
  <si>
    <t>foxp3</t>
    <phoneticPr fontId="10" type="noConversion"/>
  </si>
  <si>
    <t>ki67</t>
    <phoneticPr fontId="10" type="noConversion"/>
  </si>
  <si>
    <t>MC38</t>
    <phoneticPr fontId="10" type="noConversion"/>
  </si>
  <si>
    <t>MFC</t>
    <phoneticPr fontId="10" type="noConversion"/>
  </si>
  <si>
    <t>T-PA</t>
  </si>
  <si>
    <t>T-DGKA</t>
  </si>
  <si>
    <t>ESCC</t>
    <phoneticPr fontId="10" type="noConversion"/>
  </si>
  <si>
    <t>P-PA</t>
  </si>
  <si>
    <t>GC</t>
    <phoneticPr fontId="10" type="noConversion"/>
  </si>
  <si>
    <t>Mut1-1</t>
    <phoneticPr fontId="10" type="noConversion"/>
  </si>
  <si>
    <t>Mut1-2</t>
    <phoneticPr fontId="10" type="noConversion"/>
  </si>
  <si>
    <t>Mut1-3</t>
    <phoneticPr fontId="10" type="noConversion"/>
  </si>
  <si>
    <t>Mut1-4</t>
    <phoneticPr fontId="10" type="noConversion"/>
  </si>
  <si>
    <t>Mut2-1</t>
    <phoneticPr fontId="10" type="noConversion"/>
  </si>
  <si>
    <t>Mut2-2</t>
    <phoneticPr fontId="10" type="noConversion"/>
  </si>
  <si>
    <t>Mut3-1</t>
    <phoneticPr fontId="10" type="noConversion"/>
  </si>
  <si>
    <t>WT1</t>
    <phoneticPr fontId="10" type="noConversion"/>
  </si>
  <si>
    <t>WT2</t>
    <phoneticPr fontId="10" type="noConversion"/>
  </si>
  <si>
    <t>WT3</t>
    <phoneticPr fontId="10" type="noConversion"/>
  </si>
  <si>
    <t>F184A</t>
    <phoneticPr fontId="10" type="noConversion"/>
  </si>
  <si>
    <t>P189A</t>
    <phoneticPr fontId="10" type="noConversion"/>
  </si>
  <si>
    <t>Q220A</t>
    <phoneticPr fontId="10" type="noConversion"/>
  </si>
  <si>
    <t>K221A</t>
    <phoneticPr fontId="10" type="noConversion"/>
  </si>
  <si>
    <t>R274A</t>
    <phoneticPr fontId="10" type="noConversion"/>
  </si>
  <si>
    <t>H181A</t>
    <phoneticPr fontId="10" type="noConversion"/>
  </si>
  <si>
    <t>P182A</t>
    <phoneticPr fontId="10" type="noConversion"/>
  </si>
  <si>
    <t>Figure S1C</t>
    <phoneticPr fontId="10" type="noConversion"/>
  </si>
  <si>
    <t>FigureS2A</t>
    <phoneticPr fontId="10" type="noConversion"/>
  </si>
  <si>
    <t>FigureS2D</t>
    <phoneticPr fontId="10" type="noConversion"/>
  </si>
  <si>
    <t>FigureS2F</t>
    <phoneticPr fontId="10" type="noConversion"/>
  </si>
  <si>
    <t>R59022 25 µM</t>
    <phoneticPr fontId="10" type="noConversion"/>
  </si>
  <si>
    <t>R59022 50 µM</t>
    <phoneticPr fontId="10" type="noConversion"/>
  </si>
  <si>
    <t>DMSO</t>
    <phoneticPr fontId="10" type="noConversion"/>
  </si>
  <si>
    <t>#1</t>
    <phoneticPr fontId="10" type="noConversion"/>
  </si>
  <si>
    <t>#2</t>
  </si>
  <si>
    <t>#3</t>
  </si>
  <si>
    <r>
      <t>37</t>
    </r>
    <r>
      <rPr>
        <sz val="10"/>
        <rFont val="宋体"/>
        <family val="3"/>
        <charset val="134"/>
      </rPr>
      <t>℃</t>
    </r>
    <phoneticPr fontId="10" type="noConversion"/>
  </si>
  <si>
    <r>
      <t>42</t>
    </r>
    <r>
      <rPr>
        <sz val="10"/>
        <rFont val="宋体"/>
        <family val="3"/>
        <charset val="134"/>
      </rPr>
      <t>℃</t>
    </r>
    <phoneticPr fontId="10" type="noConversion"/>
  </si>
  <si>
    <r>
      <t>47</t>
    </r>
    <r>
      <rPr>
        <sz val="10"/>
        <rFont val="宋体"/>
        <family val="3"/>
        <charset val="134"/>
      </rPr>
      <t>℃</t>
    </r>
    <phoneticPr fontId="10" type="noConversion"/>
  </si>
  <si>
    <r>
      <t>52</t>
    </r>
    <r>
      <rPr>
        <sz val="10"/>
        <rFont val="宋体"/>
        <family val="3"/>
        <charset val="134"/>
      </rPr>
      <t>℃</t>
    </r>
    <phoneticPr fontId="10" type="noConversion"/>
  </si>
  <si>
    <r>
      <t>57</t>
    </r>
    <r>
      <rPr>
        <sz val="10"/>
        <rFont val="宋体"/>
        <family val="3"/>
        <charset val="134"/>
      </rPr>
      <t>℃</t>
    </r>
    <phoneticPr fontId="10" type="noConversion"/>
  </si>
  <si>
    <r>
      <t>62</t>
    </r>
    <r>
      <rPr>
        <sz val="10"/>
        <rFont val="宋体"/>
        <family val="3"/>
        <charset val="134"/>
      </rPr>
      <t>℃</t>
    </r>
    <phoneticPr fontId="10" type="noConversion"/>
  </si>
  <si>
    <t>15.6 µM</t>
    <phoneticPr fontId="10" type="noConversion"/>
  </si>
  <si>
    <t>31.3 µM</t>
    <phoneticPr fontId="10" type="noConversion"/>
  </si>
  <si>
    <t>62.5 µM</t>
    <phoneticPr fontId="10" type="noConversion"/>
  </si>
  <si>
    <t>125 µM</t>
    <phoneticPr fontId="10" type="noConversion"/>
  </si>
  <si>
    <t>250 µM</t>
    <phoneticPr fontId="10" type="noConversion"/>
  </si>
  <si>
    <t>FigureS5A</t>
    <phoneticPr fontId="10" type="noConversion"/>
  </si>
  <si>
    <t>FigureS5B</t>
    <phoneticPr fontId="10" type="noConversion"/>
  </si>
  <si>
    <t>Figure S6A</t>
    <phoneticPr fontId="10" type="noConversion"/>
  </si>
  <si>
    <t>Figure S6B</t>
    <phoneticPr fontId="10" type="noConversion"/>
  </si>
  <si>
    <t>Figure 1B</t>
    <phoneticPr fontId="10" type="noConversion"/>
  </si>
  <si>
    <t>Figure 1C</t>
    <phoneticPr fontId="10" type="noConversion"/>
  </si>
  <si>
    <t>Figure 1D</t>
    <phoneticPr fontId="10" type="noConversion"/>
  </si>
  <si>
    <t>Figure 1E</t>
    <phoneticPr fontId="10" type="noConversion"/>
  </si>
  <si>
    <t>Figure 1H and I</t>
    <phoneticPr fontId="10" type="noConversion"/>
  </si>
  <si>
    <t>#2</t>
    <phoneticPr fontId="10" type="noConversion"/>
  </si>
  <si>
    <t>#3</t>
    <phoneticPr fontId="10" type="noConversion"/>
  </si>
  <si>
    <t xml:space="preserve"> PA</t>
    <phoneticPr fontId="10" type="noConversion"/>
  </si>
  <si>
    <t>Cont sh</t>
    <phoneticPr fontId="10" type="noConversion"/>
  </si>
  <si>
    <t>Figure 1J</t>
    <phoneticPr fontId="10" type="noConversion"/>
  </si>
  <si>
    <t>Figure 1L</t>
    <phoneticPr fontId="10" type="noConversion"/>
  </si>
  <si>
    <t>Last day</t>
    <phoneticPr fontId="10" type="noConversion"/>
  </si>
  <si>
    <t>Mean</t>
    <phoneticPr fontId="10" type="noConversion"/>
  </si>
  <si>
    <t>SD</t>
    <phoneticPr fontId="10" type="noConversion"/>
  </si>
  <si>
    <t>FigureS12C</t>
    <phoneticPr fontId="10" type="noConversion"/>
  </si>
  <si>
    <t>PA</t>
    <phoneticPr fontId="10" type="noConversion"/>
  </si>
  <si>
    <t>PA+ζ-Stat</t>
    <phoneticPr fontId="10" type="noConversion"/>
  </si>
  <si>
    <t>KYES510</t>
    <phoneticPr fontId="10" type="noConversion"/>
  </si>
  <si>
    <t>FigureS13B</t>
    <phoneticPr fontId="10" type="noConversion"/>
  </si>
  <si>
    <t>FigureS13C</t>
    <phoneticPr fontId="10" type="noConversion"/>
  </si>
  <si>
    <t>FigureS13D</t>
    <phoneticPr fontId="10" type="noConversion"/>
  </si>
  <si>
    <t>Figure S14</t>
    <phoneticPr fontId="10" type="noConversion"/>
  </si>
  <si>
    <t>Figure S15</t>
    <phoneticPr fontId="10" type="noConversion"/>
  </si>
  <si>
    <t>CC</t>
    <phoneticPr fontId="10" type="noConversion"/>
  </si>
  <si>
    <t>responsive</t>
    <phoneticPr fontId="10" type="noConversion"/>
  </si>
  <si>
    <t>nonresponsive</t>
    <phoneticPr fontId="10" type="noConversion"/>
  </si>
  <si>
    <t>Figure S16A</t>
    <phoneticPr fontId="10" type="noConversion"/>
  </si>
  <si>
    <t>Figure S16B</t>
    <phoneticPr fontId="10" type="noConversion"/>
  </si>
  <si>
    <t>Figure S16C</t>
    <phoneticPr fontId="10" type="noConversion"/>
  </si>
  <si>
    <t>Figure S17B</t>
    <phoneticPr fontId="10" type="noConversion"/>
  </si>
  <si>
    <t>Figure S17C</t>
    <phoneticPr fontId="10" type="noConversion"/>
  </si>
  <si>
    <t>Figure S18</t>
    <phoneticPr fontId="10" type="noConversion"/>
  </si>
  <si>
    <t>Figure S19B</t>
    <phoneticPr fontId="10" type="noConversion"/>
  </si>
  <si>
    <t>Figure S19C</t>
    <phoneticPr fontId="10" type="noConversion"/>
  </si>
  <si>
    <t>Figure S19D</t>
    <phoneticPr fontId="10" type="noConversion"/>
  </si>
  <si>
    <t>R59022 25 mg/kg</t>
    <phoneticPr fontId="10" type="noConversion"/>
  </si>
  <si>
    <t>c-Myc</t>
    <phoneticPr fontId="10" type="noConversion"/>
  </si>
  <si>
    <t>NF-kB</t>
    <phoneticPr fontId="10" type="noConversion"/>
  </si>
  <si>
    <t>CD31</t>
    <phoneticPr fontId="10" type="noConversion"/>
  </si>
  <si>
    <t>Figure S21</t>
    <phoneticPr fontId="10" type="noConversion"/>
  </si>
  <si>
    <t>CTLA4</t>
    <phoneticPr fontId="10" type="noConversion"/>
  </si>
  <si>
    <t>Figure S22A</t>
    <phoneticPr fontId="10" type="noConversion"/>
  </si>
  <si>
    <t>Figure S22B</t>
    <phoneticPr fontId="10" type="noConversion"/>
  </si>
  <si>
    <t>anti-CTLA-4</t>
  </si>
  <si>
    <t>anti-CTLA-4</t>
    <phoneticPr fontId="10" type="noConversion"/>
  </si>
  <si>
    <t>R59022 12.5 mg/kg</t>
  </si>
  <si>
    <t>R59022 12.5 mg/kg</t>
    <phoneticPr fontId="10" type="noConversion"/>
  </si>
  <si>
    <t>R59022 12.5 mg/kg+Anti-CTLA4 antibody</t>
  </si>
  <si>
    <t>R59022 12.5 mg/kg+Anti-CTLA4 antibody</t>
    <phoneticPr fontId="10" type="noConversion"/>
  </si>
  <si>
    <t>Figure S22E</t>
    <phoneticPr fontId="10" type="noConversion"/>
  </si>
  <si>
    <t>Start</t>
  </si>
  <si>
    <t>R59022 25 mg/kg+anti-CTLA-4</t>
    <phoneticPr fontId="10" type="noConversion"/>
  </si>
  <si>
    <t>Figure S20A</t>
    <phoneticPr fontId="10" type="noConversion"/>
  </si>
  <si>
    <t>Figure S20B</t>
    <phoneticPr fontId="10" type="noConversion"/>
  </si>
  <si>
    <t>Figure S22C</t>
    <phoneticPr fontId="10" type="noConversion"/>
  </si>
  <si>
    <t>R59022 12.5 mg/kg+anti-CTLA-4</t>
    <phoneticPr fontId="10" type="noConversion"/>
  </si>
  <si>
    <t>R59022 25 mg/kg+Anti-CTLA4 antibody</t>
    <phoneticPr fontId="10" type="noConversion"/>
  </si>
  <si>
    <t>Figure 2B</t>
    <phoneticPr fontId="10" type="noConversion"/>
  </si>
  <si>
    <t>Figure 2C</t>
    <phoneticPr fontId="10" type="noConversion"/>
  </si>
  <si>
    <t>Figure 2D</t>
    <phoneticPr fontId="10" type="noConversion"/>
  </si>
  <si>
    <t>Figure S22D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</si>
</sst>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宋体"/>
      <charset val="134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10"/>
      <name val="Arial"/>
      <family val="2"/>
    </font>
    <font>
      <sz val="11"/>
      <name val="Times New Roman"/>
      <family val="1"/>
    </font>
    <font>
      <sz val="11"/>
      <color rgb="FFFF0000"/>
      <name val="Times New Roman"/>
      <family val="1"/>
    </font>
    <font>
      <sz val="14"/>
      <color theme="1"/>
      <name val="Times New Roman"/>
      <family val="1"/>
    </font>
    <font>
      <sz val="11"/>
      <color theme="1"/>
      <name val="宋体"/>
      <family val="3"/>
      <charset val="134"/>
    </font>
    <font>
      <sz val="10"/>
      <name val="Times New Roman"/>
      <family val="1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0"/>
      <name val="宋体"/>
      <family val="3"/>
      <charset val="134"/>
    </font>
    <font>
      <b/>
      <sz val="11"/>
      <color theme="1"/>
      <name val="Times New Roman"/>
      <family val="1"/>
    </font>
    <font>
      <b/>
      <sz val="14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6" tint="0.7999206518753624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9" fillId="0" borderId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3" borderId="0" xfId="0" applyFont="1" applyFill="1">
      <alignment vertical="center"/>
    </xf>
    <xf numFmtId="0" fontId="2" fillId="4" borderId="0" xfId="0" applyFont="1" applyFill="1">
      <alignment vertical="center"/>
    </xf>
    <xf numFmtId="0" fontId="3" fillId="0" borderId="0" xfId="0" applyFont="1" applyAlignment="1"/>
    <xf numFmtId="0" fontId="4" fillId="4" borderId="0" xfId="0" applyFont="1" applyFill="1">
      <alignment vertical="center"/>
    </xf>
    <xf numFmtId="0" fontId="5" fillId="0" borderId="0" xfId="0" applyFont="1">
      <alignment vertical="center"/>
    </xf>
    <xf numFmtId="0" fontId="4" fillId="0" borderId="0" xfId="0" applyFont="1">
      <alignment vertical="center"/>
    </xf>
    <xf numFmtId="0" fontId="6" fillId="0" borderId="0" xfId="0" applyFont="1">
      <alignment vertical="center"/>
    </xf>
    <xf numFmtId="0" fontId="2" fillId="2" borderId="0" xfId="0" applyFont="1" applyFill="1">
      <alignment vertical="center"/>
    </xf>
    <xf numFmtId="0" fontId="7" fillId="0" borderId="0" xfId="0" applyFont="1">
      <alignment vertical="center"/>
    </xf>
    <xf numFmtId="0" fontId="8" fillId="0" borderId="0" xfId="0" applyFont="1" applyAlignment="1"/>
    <xf numFmtId="0" fontId="1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13" fillId="0" borderId="0" xfId="0" applyFont="1">
      <alignment vertical="center"/>
    </xf>
    <xf numFmtId="0" fontId="2" fillId="5" borderId="0" xfId="0" applyFont="1" applyFill="1">
      <alignment vertical="center"/>
    </xf>
    <xf numFmtId="0" fontId="14" fillId="0" borderId="0" xfId="0" applyFont="1">
      <alignment vertical="center"/>
    </xf>
    <xf numFmtId="0" fontId="4" fillId="3" borderId="0" xfId="0" applyFont="1" applyFill="1">
      <alignment vertical="center"/>
    </xf>
    <xf numFmtId="0" fontId="2" fillId="4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</cellXfs>
  <cellStyles count="2">
    <cellStyle name="常规" xfId="0" builtinId="0"/>
    <cellStyle name="常规 2" xfId="1" xr:uid="{00000000-0005-0000-0000-000001000000}"/>
  </cellStyles>
  <dxfs count="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Y75"/>
  <sheetViews>
    <sheetView zoomScale="70" zoomScaleNormal="70" workbookViewId="0">
      <selection activeCell="G79" sqref="G79"/>
    </sheetView>
  </sheetViews>
  <sheetFormatPr defaultColWidth="9" defaultRowHeight="17.649999999999999" x14ac:dyDescent="0.3"/>
  <cols>
    <col min="1" max="1" width="13.59765625" style="9" customWidth="1"/>
    <col min="2" max="2" width="22.59765625" style="2" customWidth="1"/>
    <col min="3" max="3" width="9" style="2"/>
    <col min="4" max="4" width="17.59765625" style="2" customWidth="1"/>
    <col min="5" max="5" width="15.33203125" style="2" customWidth="1"/>
    <col min="6" max="6" width="9" style="2"/>
    <col min="7" max="7" width="15.73046875" style="2" customWidth="1"/>
    <col min="8" max="8" width="15.796875" style="2" customWidth="1"/>
    <col min="9" max="9" width="12.59765625" style="2" customWidth="1"/>
    <col min="10" max="12" width="9" style="2"/>
    <col min="13" max="13" width="11.796875" style="2" customWidth="1"/>
    <col min="14" max="16384" width="9" style="2"/>
  </cols>
  <sheetData>
    <row r="2" spans="1:8" ht="17.25" x14ac:dyDescent="0.3">
      <c r="A2" s="1" t="s">
        <v>131</v>
      </c>
      <c r="B2" s="3" t="s">
        <v>26</v>
      </c>
      <c r="C2" s="21" t="s">
        <v>27</v>
      </c>
      <c r="D2" s="21"/>
      <c r="E2" s="21" t="s">
        <v>28</v>
      </c>
      <c r="F2" s="21"/>
      <c r="G2" s="21" t="s">
        <v>29</v>
      </c>
      <c r="H2" s="21"/>
    </row>
    <row r="3" spans="1:8" x14ac:dyDescent="0.3">
      <c r="C3" s="2" t="s">
        <v>30</v>
      </c>
      <c r="D3" s="2" t="s">
        <v>31</v>
      </c>
      <c r="E3" s="2" t="s">
        <v>30</v>
      </c>
      <c r="F3" s="2" t="s">
        <v>31</v>
      </c>
      <c r="G3" s="2" t="s">
        <v>30</v>
      </c>
      <c r="H3" s="2" t="s">
        <v>31</v>
      </c>
    </row>
    <row r="4" spans="1:8" x14ac:dyDescent="0.3">
      <c r="C4" s="2">
        <v>1.0092270000000001</v>
      </c>
      <c r="D4" s="2">
        <v>11.5182</v>
      </c>
      <c r="E4" s="2">
        <v>1.007976</v>
      </c>
      <c r="F4" s="2">
        <v>1.928626</v>
      </c>
      <c r="G4" s="2">
        <v>1.0378540000000001</v>
      </c>
      <c r="H4" s="2">
        <v>5.4028200000000002</v>
      </c>
    </row>
    <row r="5" spans="1:8" x14ac:dyDescent="0.3">
      <c r="C5" s="2">
        <v>1.013315</v>
      </c>
      <c r="D5" s="2">
        <v>9.6072710000000008</v>
      </c>
      <c r="E5" s="2">
        <v>1.1229530000000001</v>
      </c>
      <c r="F5" s="2">
        <v>1.6064480000000001</v>
      </c>
      <c r="G5" s="2">
        <v>0.93398899999999996</v>
      </c>
      <c r="H5" s="2">
        <v>6.0208940000000002</v>
      </c>
    </row>
    <row r="6" spans="1:8" x14ac:dyDescent="0.3">
      <c r="C6" s="2">
        <v>0.97783600000000004</v>
      </c>
      <c r="D6" s="2">
        <v>12.85989</v>
      </c>
      <c r="E6" s="2">
        <v>0.883463</v>
      </c>
      <c r="F6" s="2">
        <v>2.0918209999999999</v>
      </c>
      <c r="G6" s="2">
        <v>1.031625</v>
      </c>
      <c r="H6" s="2">
        <v>4.3713290000000002</v>
      </c>
    </row>
    <row r="7" spans="1:8" x14ac:dyDescent="0.3">
      <c r="B7" s="4" t="s">
        <v>16</v>
      </c>
      <c r="C7" s="4">
        <f>AVERAGE(C4:C6)</f>
        <v>1.0001260000000001</v>
      </c>
      <c r="D7" s="4">
        <f t="shared" ref="D7:H7" si="0">AVERAGE(D4:D6)</f>
        <v>11.328453666666666</v>
      </c>
      <c r="E7" s="4">
        <f t="shared" si="0"/>
        <v>1.0047973333333333</v>
      </c>
      <c r="F7" s="4">
        <f t="shared" si="0"/>
        <v>1.8756316666666664</v>
      </c>
      <c r="G7" s="4">
        <f t="shared" si="0"/>
        <v>1.0011559999999999</v>
      </c>
      <c r="H7" s="4">
        <f t="shared" si="0"/>
        <v>5.2650143333333332</v>
      </c>
    </row>
    <row r="8" spans="1:8" x14ac:dyDescent="0.3">
      <c r="B8" s="4" t="s">
        <v>17</v>
      </c>
      <c r="C8" s="4">
        <f>STDEV(C4:C6)</f>
        <v>1.9411620514526846E-2</v>
      </c>
      <c r="D8" s="4">
        <f t="shared" ref="D8:H8" si="1">STDEV(D4:D6)</f>
        <v>1.6345902676360144</v>
      </c>
      <c r="E8" s="4">
        <f t="shared" si="1"/>
        <v>0.11977663781528243</v>
      </c>
      <c r="F8" s="4">
        <f t="shared" si="1"/>
        <v>0.24698792846277981</v>
      </c>
      <c r="G8" s="4">
        <f t="shared" si="1"/>
        <v>5.8251648277108908E-2</v>
      </c>
      <c r="H8" s="4">
        <f t="shared" si="1"/>
        <v>0.83337204994548175</v>
      </c>
    </row>
    <row r="11" spans="1:8" ht="17.25" x14ac:dyDescent="0.3">
      <c r="A11" s="1" t="s">
        <v>132</v>
      </c>
      <c r="B11" s="3" t="s">
        <v>26</v>
      </c>
      <c r="C11" s="21" t="s">
        <v>11</v>
      </c>
      <c r="D11" s="21"/>
      <c r="E11" s="21" t="s">
        <v>12</v>
      </c>
      <c r="F11" s="21"/>
    </row>
    <row r="12" spans="1:8" x14ac:dyDescent="0.3">
      <c r="C12" s="2" t="s">
        <v>112</v>
      </c>
      <c r="D12" s="2" t="s">
        <v>23</v>
      </c>
      <c r="E12" s="2" t="s">
        <v>112</v>
      </c>
      <c r="F12" s="2" t="s">
        <v>23</v>
      </c>
    </row>
    <row r="13" spans="1:8" x14ac:dyDescent="0.3">
      <c r="C13" s="2">
        <v>1.038772</v>
      </c>
      <c r="D13" s="2">
        <v>0.40894900000000001</v>
      </c>
      <c r="E13" s="2">
        <v>1.0161150000000001</v>
      </c>
      <c r="F13" s="2">
        <v>0.48824699999999999</v>
      </c>
    </row>
    <row r="14" spans="1:8" x14ac:dyDescent="0.3">
      <c r="C14" s="2">
        <v>1.0593999999999999</v>
      </c>
      <c r="D14" s="2">
        <v>0.319608</v>
      </c>
      <c r="E14" s="2">
        <v>1.06769</v>
      </c>
      <c r="F14" s="2">
        <v>0.50943700000000003</v>
      </c>
    </row>
    <row r="15" spans="1:8" x14ac:dyDescent="0.3">
      <c r="C15" s="2">
        <v>0.90869699999999998</v>
      </c>
      <c r="D15" s="2">
        <v>0.31304399999999999</v>
      </c>
      <c r="E15" s="2">
        <v>0.92174699999999998</v>
      </c>
      <c r="F15" s="2">
        <v>0.33091300000000001</v>
      </c>
    </row>
    <row r="16" spans="1:8" x14ac:dyDescent="0.3">
      <c r="B16" s="4" t="s">
        <v>16</v>
      </c>
      <c r="C16" s="4">
        <f>AVERAGE(C13:C15)</f>
        <v>1.0022896666666667</v>
      </c>
      <c r="D16" s="4">
        <f t="shared" ref="D16:F16" si="2">AVERAGE(D13:D15)</f>
        <v>0.34720033333333333</v>
      </c>
      <c r="E16" s="4">
        <f t="shared" si="2"/>
        <v>1.0018506666666667</v>
      </c>
      <c r="F16" s="4">
        <f t="shared" si="2"/>
        <v>0.44286566666666666</v>
      </c>
    </row>
    <row r="17" spans="1:9" x14ac:dyDescent="0.3">
      <c r="B17" s="4" t="s">
        <v>17</v>
      </c>
      <c r="C17" s="4">
        <f>STDEV(C13:C15)</f>
        <v>8.1707215326024485E-2</v>
      </c>
      <c r="D17" s="4">
        <f t="shared" ref="D17:F17" si="3">STDEV(D13:D15)</f>
        <v>5.3576533112299603E-2</v>
      </c>
      <c r="E17" s="4">
        <f t="shared" si="3"/>
        <v>7.4009750819289608E-2</v>
      </c>
      <c r="F17" s="4">
        <f t="shared" si="3"/>
        <v>9.7531039701898734E-2</v>
      </c>
    </row>
    <row r="21" spans="1:9" ht="17.25" x14ac:dyDescent="0.3">
      <c r="A21" s="1" t="s">
        <v>133</v>
      </c>
      <c r="B21" s="3" t="s">
        <v>26</v>
      </c>
      <c r="C21" s="21" t="s">
        <v>11</v>
      </c>
      <c r="D21" s="21"/>
      <c r="E21" s="21"/>
      <c r="G21" s="21" t="s">
        <v>12</v>
      </c>
      <c r="H21" s="21"/>
      <c r="I21" s="21"/>
    </row>
    <row r="22" spans="1:9" x14ac:dyDescent="0.3">
      <c r="C22" s="2" t="s">
        <v>139</v>
      </c>
      <c r="D22" s="2" t="s">
        <v>32</v>
      </c>
      <c r="E22" s="2" t="s">
        <v>33</v>
      </c>
      <c r="G22" s="2" t="s">
        <v>139</v>
      </c>
      <c r="H22" s="2" t="s">
        <v>32</v>
      </c>
      <c r="I22" s="2" t="s">
        <v>33</v>
      </c>
    </row>
    <row r="23" spans="1:9" x14ac:dyDescent="0.3">
      <c r="C23" s="2">
        <v>0.88675999999999999</v>
      </c>
      <c r="D23" s="2">
        <v>0.30728899999999998</v>
      </c>
      <c r="E23" s="2">
        <v>0.891544</v>
      </c>
      <c r="G23" s="2">
        <v>1.1052070000000001</v>
      </c>
      <c r="H23" s="2">
        <v>0.30745099999999997</v>
      </c>
      <c r="I23" s="2">
        <v>1.1974670000000001</v>
      </c>
    </row>
    <row r="24" spans="1:9" x14ac:dyDescent="0.3">
      <c r="C24" s="2">
        <v>0.91886100000000004</v>
      </c>
      <c r="D24" s="2">
        <v>0.19616400000000001</v>
      </c>
      <c r="E24" s="2">
        <v>0.99990400000000002</v>
      </c>
      <c r="G24" s="2">
        <v>0.98855599999999999</v>
      </c>
      <c r="H24" s="2">
        <v>0.45367600000000002</v>
      </c>
      <c r="I24" s="2">
        <v>0.99673900000000004</v>
      </c>
    </row>
    <row r="25" spans="1:9" x14ac:dyDescent="0.3">
      <c r="C25" s="2">
        <v>1.2272799999999999</v>
      </c>
      <c r="D25" s="2">
        <v>0.385461</v>
      </c>
      <c r="E25" s="2">
        <v>0.84390799999999999</v>
      </c>
      <c r="G25" s="2">
        <v>0.91528200000000004</v>
      </c>
      <c r="H25" s="2">
        <v>0.27577099999999999</v>
      </c>
      <c r="I25" s="2">
        <v>0.72430000000000005</v>
      </c>
    </row>
    <row r="26" spans="1:9" x14ac:dyDescent="0.3">
      <c r="B26" s="4" t="s">
        <v>16</v>
      </c>
      <c r="C26" s="4">
        <f>AVERAGE(C23:C25)</f>
        <v>1.0109669999999999</v>
      </c>
      <c r="D26" s="4">
        <f t="shared" ref="D26:I26" si="4">AVERAGE(D23:D25)</f>
        <v>0.29630466666666666</v>
      </c>
      <c r="E26" s="4">
        <f t="shared" si="4"/>
        <v>0.91178533333333334</v>
      </c>
      <c r="F26" s="4"/>
      <c r="G26" s="4">
        <f t="shared" si="4"/>
        <v>1.003015</v>
      </c>
      <c r="H26" s="4">
        <f t="shared" si="4"/>
        <v>0.34563266666666664</v>
      </c>
      <c r="I26" s="4">
        <f t="shared" si="4"/>
        <v>0.97283533333333339</v>
      </c>
    </row>
    <row r="27" spans="1:9" x14ac:dyDescent="0.3">
      <c r="B27" s="4" t="s">
        <v>17</v>
      </c>
      <c r="C27" s="4">
        <f>STDEV(C23:C25)</f>
        <v>0.18801889273953307</v>
      </c>
      <c r="D27" s="4">
        <f t="shared" ref="D27:I27" si="5">STDEV(D23:D25)</f>
        <v>9.512533961218389E-2</v>
      </c>
      <c r="E27" s="4">
        <f t="shared" si="5"/>
        <v>7.9943553119268693E-2</v>
      </c>
      <c r="F27" s="4"/>
      <c r="G27" s="4">
        <f t="shared" si="5"/>
        <v>9.5784515538786336E-2</v>
      </c>
      <c r="H27" s="4">
        <f t="shared" si="5"/>
        <v>9.4899562740475188E-2</v>
      </c>
      <c r="I27" s="4">
        <f t="shared" si="5"/>
        <v>0.2374874553157138</v>
      </c>
    </row>
    <row r="31" spans="1:9" ht="17.25" x14ac:dyDescent="0.3">
      <c r="A31" s="1" t="s">
        <v>134</v>
      </c>
      <c r="B31" s="3" t="s">
        <v>14</v>
      </c>
      <c r="C31" s="21" t="s">
        <v>11</v>
      </c>
      <c r="D31" s="21"/>
      <c r="E31" s="21" t="s">
        <v>12</v>
      </c>
      <c r="F31" s="21"/>
      <c r="G31" s="21" t="s">
        <v>13</v>
      </c>
      <c r="H31" s="21"/>
    </row>
    <row r="32" spans="1:9" x14ac:dyDescent="0.3">
      <c r="C32" s="2" t="s">
        <v>112</v>
      </c>
      <c r="D32" s="2" t="s">
        <v>34</v>
      </c>
      <c r="E32" s="2" t="s">
        <v>112</v>
      </c>
      <c r="F32" s="2" t="s">
        <v>34</v>
      </c>
      <c r="G32" s="2" t="s">
        <v>112</v>
      </c>
      <c r="H32" s="2" t="s">
        <v>34</v>
      </c>
    </row>
    <row r="33" spans="1:25" x14ac:dyDescent="0.3">
      <c r="C33" s="2">
        <v>1.02643</v>
      </c>
      <c r="D33" s="2">
        <v>0.166106</v>
      </c>
      <c r="E33" s="2">
        <v>1.020875</v>
      </c>
      <c r="F33" s="2">
        <v>0.26689299999999999</v>
      </c>
      <c r="G33" s="2">
        <v>1.0436099999999999</v>
      </c>
      <c r="H33" s="2">
        <v>0.29871999999999999</v>
      </c>
    </row>
    <row r="34" spans="1:25" x14ac:dyDescent="0.3">
      <c r="C34" s="2">
        <v>1.005126</v>
      </c>
      <c r="D34" s="2">
        <v>0.199263</v>
      </c>
      <c r="E34" s="2">
        <v>1.0334000000000001</v>
      </c>
      <c r="F34" s="2">
        <v>0.22808100000000001</v>
      </c>
      <c r="G34" s="2">
        <v>1.00179</v>
      </c>
      <c r="H34" s="2">
        <v>0.23963999999999999</v>
      </c>
    </row>
    <row r="35" spans="1:25" x14ac:dyDescent="0.3">
      <c r="C35" s="2">
        <v>0.968445</v>
      </c>
      <c r="D35" s="2">
        <v>0.21912499999999999</v>
      </c>
      <c r="E35" s="2">
        <v>0.94572400000000001</v>
      </c>
      <c r="F35" s="2">
        <v>0.29488199999999998</v>
      </c>
      <c r="G35" s="2">
        <v>0.9546</v>
      </c>
      <c r="H35" s="2">
        <v>0.30425999999999997</v>
      </c>
    </row>
    <row r="36" spans="1:25" x14ac:dyDescent="0.3">
      <c r="B36" s="4" t="s">
        <v>16</v>
      </c>
      <c r="C36" s="4">
        <f>AVERAGE(C33:C35)</f>
        <v>1.0000003333333334</v>
      </c>
      <c r="D36" s="4">
        <f t="shared" ref="D36:H36" si="6">AVERAGE(D33:D35)</f>
        <v>0.19483133333333333</v>
      </c>
      <c r="E36" s="4">
        <f t="shared" si="6"/>
        <v>0.99999966666666662</v>
      </c>
      <c r="F36" s="4">
        <f t="shared" si="6"/>
        <v>0.26328533333333332</v>
      </c>
      <c r="G36" s="4">
        <f t="shared" si="6"/>
        <v>1</v>
      </c>
      <c r="H36" s="4">
        <f t="shared" si="6"/>
        <v>0.28087333333333331</v>
      </c>
    </row>
    <row r="37" spans="1:25" x14ac:dyDescent="0.3">
      <c r="B37" s="4" t="s">
        <v>17</v>
      </c>
      <c r="C37" s="4">
        <f>STDEV(C33:C35)</f>
        <v>2.9330349475131249E-2</v>
      </c>
      <c r="D37" s="4">
        <f t="shared" ref="D37:H37" si="7">STDEV(D33:D35)</f>
        <v>2.6785879532569772E-2</v>
      </c>
      <c r="E37" s="4">
        <f t="shared" si="7"/>
        <v>4.7419456980582725E-2</v>
      </c>
      <c r="F37" s="4">
        <f t="shared" si="7"/>
        <v>3.3546308952451392E-2</v>
      </c>
      <c r="G37" s="4">
        <f t="shared" si="7"/>
        <v>4.4531989625436641E-2</v>
      </c>
      <c r="H37" s="4">
        <f t="shared" si="7"/>
        <v>3.5816389172184097E-2</v>
      </c>
    </row>
    <row r="42" spans="1:25" x14ac:dyDescent="0.3">
      <c r="C42" s="21" t="s">
        <v>11</v>
      </c>
      <c r="D42" s="21"/>
      <c r="E42" s="21"/>
      <c r="F42" s="21"/>
      <c r="G42" s="21"/>
      <c r="H42" s="21"/>
      <c r="I42" s="21"/>
      <c r="J42" s="21"/>
      <c r="K42" s="21"/>
      <c r="L42" s="21"/>
      <c r="M42" s="21"/>
      <c r="O42" s="21" t="s">
        <v>12</v>
      </c>
      <c r="P42" s="21"/>
      <c r="Q42" s="21"/>
      <c r="R42" s="21"/>
      <c r="S42" s="21"/>
      <c r="T42" s="21"/>
      <c r="U42" s="21"/>
      <c r="V42" s="21"/>
      <c r="W42" s="21"/>
      <c r="X42" s="21"/>
      <c r="Y42" s="21"/>
    </row>
    <row r="43" spans="1:25" ht="17.25" x14ac:dyDescent="0.3">
      <c r="A43" s="1" t="s">
        <v>135</v>
      </c>
      <c r="B43" s="3" t="s">
        <v>35</v>
      </c>
      <c r="C43" s="2" t="s">
        <v>36</v>
      </c>
      <c r="D43" s="22" t="s">
        <v>112</v>
      </c>
      <c r="E43" s="22"/>
      <c r="F43" s="22"/>
      <c r="G43" s="4" t="s">
        <v>16</v>
      </c>
      <c r="H43" s="4" t="s">
        <v>17</v>
      </c>
      <c r="I43" s="22" t="s">
        <v>37</v>
      </c>
      <c r="J43" s="22"/>
      <c r="K43" s="22"/>
      <c r="L43" s="4" t="s">
        <v>16</v>
      </c>
      <c r="M43" s="4" t="s">
        <v>17</v>
      </c>
      <c r="O43" s="2" t="s">
        <v>36</v>
      </c>
      <c r="P43" s="22" t="s">
        <v>112</v>
      </c>
      <c r="Q43" s="22"/>
      <c r="R43" s="22"/>
      <c r="S43" s="4" t="s">
        <v>16</v>
      </c>
      <c r="T43" s="4" t="s">
        <v>17</v>
      </c>
      <c r="U43" s="22" t="s">
        <v>37</v>
      </c>
      <c r="V43" s="22"/>
      <c r="W43" s="22"/>
      <c r="X43" s="4" t="s">
        <v>16</v>
      </c>
      <c r="Y43" s="4" t="s">
        <v>17</v>
      </c>
    </row>
    <row r="44" spans="1:25" x14ac:dyDescent="0.3">
      <c r="D44" s="2" t="s">
        <v>113</v>
      </c>
      <c r="E44" s="2" t="s">
        <v>136</v>
      </c>
      <c r="F44" s="2" t="s">
        <v>137</v>
      </c>
      <c r="I44" s="2" t="s">
        <v>113</v>
      </c>
      <c r="J44" s="2" t="s">
        <v>136</v>
      </c>
      <c r="K44" s="2" t="s">
        <v>137</v>
      </c>
      <c r="P44" s="2" t="s">
        <v>113</v>
      </c>
      <c r="Q44" s="2" t="s">
        <v>136</v>
      </c>
      <c r="R44" s="2" t="s">
        <v>137</v>
      </c>
      <c r="U44" s="2" t="s">
        <v>113</v>
      </c>
      <c r="V44" s="2" t="s">
        <v>136</v>
      </c>
      <c r="W44" s="2" t="s">
        <v>137</v>
      </c>
    </row>
    <row r="45" spans="1:25" x14ac:dyDescent="0.4">
      <c r="C45" s="2">
        <v>37</v>
      </c>
      <c r="D45" s="2">
        <v>100</v>
      </c>
      <c r="E45" s="2">
        <v>100</v>
      </c>
      <c r="F45" s="2">
        <v>100</v>
      </c>
      <c r="G45" s="4">
        <f>AVERAGE(D45:F45)</f>
        <v>100</v>
      </c>
      <c r="H45" s="4">
        <f>STDEV(D45:F45)</f>
        <v>0</v>
      </c>
      <c r="I45" s="2">
        <v>100</v>
      </c>
      <c r="J45" s="2">
        <v>100</v>
      </c>
      <c r="K45" s="2">
        <v>100</v>
      </c>
      <c r="L45" s="4">
        <f>AVERAGE(I45:K45)</f>
        <v>100</v>
      </c>
      <c r="M45" s="4">
        <f>STDEV(I45:K45)</f>
        <v>0</v>
      </c>
      <c r="O45" s="2">
        <v>37</v>
      </c>
      <c r="P45" s="12">
        <v>100</v>
      </c>
      <c r="Q45" s="12">
        <v>100</v>
      </c>
      <c r="R45" s="12">
        <v>100</v>
      </c>
      <c r="S45" s="4">
        <f>AVERAGE(P45:R45)</f>
        <v>100</v>
      </c>
      <c r="T45" s="4">
        <f>STDEV(P45:R45)</f>
        <v>0</v>
      </c>
      <c r="U45" s="12">
        <v>100</v>
      </c>
      <c r="V45" s="12">
        <v>100</v>
      </c>
      <c r="W45" s="12">
        <v>100</v>
      </c>
      <c r="X45" s="4">
        <f>AVERAGE(U45:W45)</f>
        <v>100</v>
      </c>
      <c r="Y45" s="4">
        <f>STDEV(U45:W45)</f>
        <v>0</v>
      </c>
    </row>
    <row r="46" spans="1:25" x14ac:dyDescent="0.4">
      <c r="C46" s="2">
        <v>42</v>
      </c>
      <c r="D46" s="2">
        <v>106.57769999999999</v>
      </c>
      <c r="E46" s="2">
        <v>88.121160000000003</v>
      </c>
      <c r="F46" s="2">
        <v>97.415400000000005</v>
      </c>
      <c r="G46" s="4">
        <f t="shared" ref="G46:G50" si="8">AVERAGE(D46:F46)</f>
        <v>97.371420000000001</v>
      </c>
      <c r="H46" s="4">
        <f t="shared" ref="H46:H50" si="9">STDEV(D46:F46)</f>
        <v>9.2283485994624144</v>
      </c>
      <c r="I46" s="2">
        <v>106.82380000000001</v>
      </c>
      <c r="J46" s="2">
        <v>95.073359999999994</v>
      </c>
      <c r="K46" s="2">
        <v>95.636390000000006</v>
      </c>
      <c r="L46" s="4">
        <f t="shared" ref="L46:L50" si="10">AVERAGE(I46:K46)</f>
        <v>99.177849999999992</v>
      </c>
      <c r="M46" s="4">
        <f t="shared" ref="M46:M50" si="11">STDEV(I46:K46)</f>
        <v>6.6275685018791055</v>
      </c>
      <c r="O46" s="2">
        <v>42</v>
      </c>
      <c r="P46" s="12">
        <v>91.044409999999999</v>
      </c>
      <c r="Q46" s="12">
        <v>92.920760000000001</v>
      </c>
      <c r="R46" s="12">
        <v>87.192830000000001</v>
      </c>
      <c r="S46" s="4">
        <f>AVERAGE(P46:R46)</f>
        <v>90.38600000000001</v>
      </c>
      <c r="T46" s="4">
        <f>STDEV(P46:R46)</f>
        <v>2.9201752203078502</v>
      </c>
      <c r="U46" s="12">
        <v>95.618750000000006</v>
      </c>
      <c r="V46" s="12">
        <v>91.460400000000007</v>
      </c>
      <c r="W46" s="12">
        <v>89.122900000000001</v>
      </c>
      <c r="X46" s="4">
        <f t="shared" ref="X46:X50" si="12">AVERAGE(U46:W46)</f>
        <v>92.067350000000019</v>
      </c>
      <c r="Y46" s="4">
        <f t="shared" ref="Y46:Y50" si="13">STDEV(U46:W46)</f>
        <v>3.2901835864431654</v>
      </c>
    </row>
    <row r="47" spans="1:25" x14ac:dyDescent="0.4">
      <c r="C47" s="2">
        <v>47</v>
      </c>
      <c r="D47" s="2">
        <v>81.383139999999997</v>
      </c>
      <c r="E47" s="2">
        <v>69.159729999999996</v>
      </c>
      <c r="F47" s="2">
        <v>80.849410000000006</v>
      </c>
      <c r="G47" s="4">
        <f t="shared" si="8"/>
        <v>77.130759999999995</v>
      </c>
      <c r="H47" s="4">
        <f t="shared" si="9"/>
        <v>6.9082708671490316</v>
      </c>
      <c r="I47" s="2">
        <v>80.745500000000007</v>
      </c>
      <c r="J47" s="2">
        <v>97.471819999999994</v>
      </c>
      <c r="K47" s="2">
        <v>80.900090000000006</v>
      </c>
      <c r="L47" s="4">
        <f t="shared" si="10"/>
        <v>86.372470000000007</v>
      </c>
      <c r="M47" s="4">
        <f t="shared" si="11"/>
        <v>9.6126298344365608</v>
      </c>
      <c r="O47" s="2">
        <v>47</v>
      </c>
      <c r="P47" s="12">
        <v>69.235810000000001</v>
      </c>
      <c r="Q47" s="12">
        <v>76.470479999999995</v>
      </c>
      <c r="R47" s="12">
        <v>78.118610000000004</v>
      </c>
      <c r="S47" s="4">
        <f t="shared" ref="S47:S50" si="14">AVERAGE(P47:R47)</f>
        <v>74.6083</v>
      </c>
      <c r="T47" s="4">
        <f t="shared" ref="T47:T50" si="15">STDEV(P47:R47)</f>
        <v>4.7251264241605222</v>
      </c>
      <c r="U47" s="12">
        <v>93.554839999999999</v>
      </c>
      <c r="V47" s="12">
        <v>94.031030000000001</v>
      </c>
      <c r="W47" s="12">
        <v>77.593509999999995</v>
      </c>
      <c r="X47" s="4">
        <f t="shared" si="12"/>
        <v>88.39312666666666</v>
      </c>
      <c r="Y47" s="4">
        <f t="shared" si="13"/>
        <v>9.355772514294765</v>
      </c>
    </row>
    <row r="48" spans="1:25" x14ac:dyDescent="0.4">
      <c r="C48" s="2">
        <v>52</v>
      </c>
      <c r="D48" s="2">
        <v>29.426310000000001</v>
      </c>
      <c r="E48" s="2">
        <v>12.471880000000001</v>
      </c>
      <c r="F48" s="2">
        <v>29.53227</v>
      </c>
      <c r="G48" s="4">
        <f t="shared" si="8"/>
        <v>23.810153333333332</v>
      </c>
      <c r="H48" s="4">
        <f t="shared" si="9"/>
        <v>9.8193756683627011</v>
      </c>
      <c r="I48" s="2">
        <v>59.433889999999998</v>
      </c>
      <c r="J48" s="2">
        <v>58.385629999999999</v>
      </c>
      <c r="K48" s="2">
        <v>49.072690000000001</v>
      </c>
      <c r="L48" s="4">
        <f t="shared" si="10"/>
        <v>55.630736666666671</v>
      </c>
      <c r="M48" s="4">
        <f t="shared" si="11"/>
        <v>5.7035685599923589</v>
      </c>
      <c r="O48" s="2">
        <v>52</v>
      </c>
      <c r="P48" s="12">
        <v>25.670590000000001</v>
      </c>
      <c r="Q48" s="12">
        <v>32.004519999999999</v>
      </c>
      <c r="R48" s="12">
        <v>30.582470000000001</v>
      </c>
      <c r="S48" s="4">
        <f t="shared" si="14"/>
        <v>29.419193333333336</v>
      </c>
      <c r="T48" s="4">
        <f t="shared" si="15"/>
        <v>3.3233381957955062</v>
      </c>
      <c r="U48" s="12">
        <v>85.144099999999995</v>
      </c>
      <c r="V48" s="12">
        <v>59.266779999999997</v>
      </c>
      <c r="W48" s="12">
        <v>52.650190000000002</v>
      </c>
      <c r="X48" s="4">
        <f t="shared" si="12"/>
        <v>65.687023333333329</v>
      </c>
      <c r="Y48" s="4">
        <f t="shared" si="13"/>
        <v>17.172017648384625</v>
      </c>
    </row>
    <row r="49" spans="1:25" x14ac:dyDescent="0.4">
      <c r="C49" s="2">
        <v>57</v>
      </c>
      <c r="D49" s="2">
        <v>15.105549999999999</v>
      </c>
      <c r="E49" s="2">
        <v>10.96688</v>
      </c>
      <c r="F49" s="2">
        <v>11.802899999999999</v>
      </c>
      <c r="G49" s="4">
        <f t="shared" si="8"/>
        <v>12.625109999999999</v>
      </c>
      <c r="H49" s="4">
        <f t="shared" si="9"/>
        <v>2.1884170775471463</v>
      </c>
      <c r="I49" s="2">
        <v>22.255549999999999</v>
      </c>
      <c r="J49" s="2">
        <v>26.236260000000001</v>
      </c>
      <c r="K49" s="2">
        <v>19.33032</v>
      </c>
      <c r="L49" s="4">
        <f t="shared" si="10"/>
        <v>22.607376666666667</v>
      </c>
      <c r="M49" s="4">
        <f t="shared" si="11"/>
        <v>3.4663869263879481</v>
      </c>
      <c r="O49" s="2">
        <v>57</v>
      </c>
      <c r="P49" s="12">
        <v>16.813800000000001</v>
      </c>
      <c r="Q49" s="12">
        <v>13.87927</v>
      </c>
      <c r="R49" s="12">
        <v>15.994070000000001</v>
      </c>
      <c r="S49" s="4">
        <f t="shared" si="14"/>
        <v>15.562379999999999</v>
      </c>
      <c r="T49" s="4">
        <f t="shared" si="15"/>
        <v>1.5141445678336005</v>
      </c>
      <c r="U49" s="12">
        <v>18.27346</v>
      </c>
      <c r="V49" s="12">
        <v>18.8369</v>
      </c>
      <c r="W49" s="12">
        <v>17.019279999999998</v>
      </c>
      <c r="X49" s="4">
        <f t="shared" si="12"/>
        <v>18.04321333333333</v>
      </c>
      <c r="Y49" s="4">
        <f t="shared" si="13"/>
        <v>0.9304277305268448</v>
      </c>
    </row>
    <row r="50" spans="1:25" x14ac:dyDescent="0.4">
      <c r="C50" s="2">
        <v>62</v>
      </c>
      <c r="D50" s="2">
        <v>2.0240130000000001</v>
      </c>
      <c r="E50" s="2">
        <v>4.6439199999999996</v>
      </c>
      <c r="F50" s="2">
        <v>9.4802569999999999</v>
      </c>
      <c r="G50" s="4">
        <f t="shared" si="8"/>
        <v>5.3827299999999996</v>
      </c>
      <c r="H50" s="4">
        <f t="shared" si="9"/>
        <v>3.7826278972374485</v>
      </c>
      <c r="I50" s="2">
        <v>13.71279</v>
      </c>
      <c r="J50" s="2">
        <v>11.56809</v>
      </c>
      <c r="K50" s="2">
        <v>6.0707680000000002</v>
      </c>
      <c r="L50" s="4">
        <f t="shared" si="10"/>
        <v>10.450549333333333</v>
      </c>
      <c r="M50" s="4">
        <f t="shared" si="11"/>
        <v>3.9416745069020243</v>
      </c>
      <c r="O50" s="2">
        <v>62</v>
      </c>
      <c r="P50" s="12">
        <v>9.5495380000000001</v>
      </c>
      <c r="Q50" s="12">
        <v>6.9203840000000003</v>
      </c>
      <c r="R50" s="12">
        <v>10.83389</v>
      </c>
      <c r="S50" s="4">
        <f t="shared" si="14"/>
        <v>9.1012706666666663</v>
      </c>
      <c r="T50" s="4">
        <f t="shared" si="15"/>
        <v>1.9948909756198043</v>
      </c>
      <c r="U50" s="12">
        <v>18.64517</v>
      </c>
      <c r="V50" s="12">
        <v>5.9492710000000004</v>
      </c>
      <c r="W50" s="12">
        <v>10.770250000000001</v>
      </c>
      <c r="X50" s="4">
        <f t="shared" si="12"/>
        <v>11.788230333333333</v>
      </c>
      <c r="Y50" s="4">
        <f t="shared" si="13"/>
        <v>6.4088747704913365</v>
      </c>
    </row>
    <row r="56" spans="1:25" ht="17.25" x14ac:dyDescent="0.3">
      <c r="A56" s="1" t="s">
        <v>140</v>
      </c>
      <c r="B56" s="3" t="s">
        <v>38</v>
      </c>
      <c r="C56" s="11" t="s">
        <v>39</v>
      </c>
      <c r="D56" s="22" t="s">
        <v>112</v>
      </c>
      <c r="E56" s="22"/>
      <c r="F56" s="22"/>
      <c r="G56" s="4" t="s">
        <v>16</v>
      </c>
      <c r="H56" s="4" t="s">
        <v>17</v>
      </c>
      <c r="I56" s="22" t="s">
        <v>138</v>
      </c>
      <c r="J56" s="22"/>
      <c r="K56" s="22"/>
      <c r="L56" s="4" t="s">
        <v>16</v>
      </c>
      <c r="M56" s="4" t="s">
        <v>17</v>
      </c>
    </row>
    <row r="57" spans="1:25" x14ac:dyDescent="0.3">
      <c r="D57" s="2" t="s">
        <v>113</v>
      </c>
      <c r="E57" s="2" t="s">
        <v>136</v>
      </c>
      <c r="F57" s="2" t="s">
        <v>137</v>
      </c>
      <c r="I57" s="2" t="s">
        <v>113</v>
      </c>
      <c r="J57" s="2" t="s">
        <v>136</v>
      </c>
      <c r="K57" s="2" t="s">
        <v>137</v>
      </c>
    </row>
    <row r="58" spans="1:25" x14ac:dyDescent="0.4">
      <c r="C58" s="2">
        <v>20</v>
      </c>
      <c r="D58" s="12">
        <v>1</v>
      </c>
      <c r="E58" s="12">
        <v>1</v>
      </c>
      <c r="F58" s="12">
        <v>1</v>
      </c>
      <c r="G58" s="4">
        <f>AVERAGE(D58:F58)</f>
        <v>1</v>
      </c>
      <c r="H58" s="4">
        <f>STDEV(D58:F58)</f>
        <v>0</v>
      </c>
      <c r="I58" s="12">
        <v>1</v>
      </c>
      <c r="J58" s="12">
        <v>1</v>
      </c>
      <c r="K58" s="12">
        <v>1</v>
      </c>
      <c r="L58" s="4">
        <f>AVERAGE(I58:K58)</f>
        <v>1</v>
      </c>
      <c r="M58" s="4">
        <f>STDEV(I58:K58)</f>
        <v>0</v>
      </c>
    </row>
    <row r="59" spans="1:25" x14ac:dyDescent="0.4">
      <c r="C59" s="2">
        <v>30</v>
      </c>
      <c r="D59" s="12">
        <v>1.0276000000000001</v>
      </c>
      <c r="E59" s="12">
        <v>1.0106630000000001</v>
      </c>
      <c r="F59" s="12">
        <v>1.0225139999999999</v>
      </c>
      <c r="G59" s="4">
        <f t="shared" ref="G59:G63" si="16">AVERAGE(D59:F59)</f>
        <v>1.020259</v>
      </c>
      <c r="H59" s="4">
        <f t="shared" ref="H59:H63" si="17">STDEV(D59:F59)</f>
        <v>8.6907572167216514E-3</v>
      </c>
      <c r="I59" s="12">
        <v>1.0199119999999999</v>
      </c>
      <c r="J59" s="12">
        <v>1.0168919999999999</v>
      </c>
      <c r="K59" s="12">
        <v>1.0102169999999999</v>
      </c>
      <c r="L59" s="4">
        <f t="shared" ref="L59:L63" si="18">AVERAGE(I59:K59)</f>
        <v>1.0156736666666666</v>
      </c>
      <c r="M59" s="4">
        <f t="shared" ref="M59:M63" si="19">STDEV(I59:K59)</f>
        <v>4.9609987233755013E-3</v>
      </c>
    </row>
    <row r="60" spans="1:25" x14ac:dyDescent="0.4">
      <c r="C60" s="2">
        <v>40</v>
      </c>
      <c r="D60" s="12">
        <v>1.054961</v>
      </c>
      <c r="E60" s="12">
        <v>1.0370490000000001</v>
      </c>
      <c r="F60" s="12">
        <v>1.052241</v>
      </c>
      <c r="G60" s="4">
        <f t="shared" si="16"/>
        <v>1.0480836666666666</v>
      </c>
      <c r="H60" s="4">
        <f t="shared" si="17"/>
        <v>9.6525903949837375E-3</v>
      </c>
      <c r="I60" s="12">
        <v>1.040929</v>
      </c>
      <c r="J60" s="12">
        <v>1.0416669999999999</v>
      </c>
      <c r="K60" s="12">
        <v>1.028097</v>
      </c>
      <c r="L60" s="4">
        <f t="shared" si="18"/>
        <v>1.0368976666666665</v>
      </c>
      <c r="M60" s="4">
        <f t="shared" si="19"/>
        <v>7.6305282473320604E-3</v>
      </c>
    </row>
    <row r="61" spans="1:25" x14ac:dyDescent="0.4">
      <c r="C61" s="2">
        <v>50</v>
      </c>
      <c r="D61" s="12">
        <v>1.077267</v>
      </c>
      <c r="E61" s="12">
        <v>1.0593239999999999</v>
      </c>
      <c r="F61" s="12">
        <v>1.07023</v>
      </c>
      <c r="G61" s="4">
        <f t="shared" si="16"/>
        <v>1.0689403333333334</v>
      </c>
      <c r="H61" s="4">
        <f t="shared" si="17"/>
        <v>9.040754522346782E-3</v>
      </c>
      <c r="I61" s="12">
        <v>1.061947</v>
      </c>
      <c r="J61" s="12">
        <v>1.0619369999999999</v>
      </c>
      <c r="K61" s="12">
        <v>1.043423</v>
      </c>
      <c r="L61" s="4">
        <f t="shared" si="18"/>
        <v>1.055769</v>
      </c>
      <c r="M61" s="4">
        <f t="shared" si="19"/>
        <v>1.0691950804226486E-2</v>
      </c>
    </row>
    <row r="62" spans="1:25" x14ac:dyDescent="0.4">
      <c r="C62" s="2">
        <v>60</v>
      </c>
      <c r="D62" s="12">
        <v>1.0821050000000001</v>
      </c>
      <c r="E62" s="12">
        <v>1.060732</v>
      </c>
      <c r="F62" s="12">
        <v>1.0718080000000001</v>
      </c>
      <c r="G62" s="4">
        <f t="shared" si="16"/>
        <v>1.0715483333333333</v>
      </c>
      <c r="H62" s="4">
        <f t="shared" si="17"/>
        <v>1.0688865811363442E-2</v>
      </c>
      <c r="I62" s="12">
        <v>1.0663720000000001</v>
      </c>
      <c r="J62" s="12">
        <v>1.066441</v>
      </c>
      <c r="K62" s="12">
        <v>1.065134</v>
      </c>
      <c r="L62" s="4">
        <f t="shared" si="18"/>
        <v>1.0659823333333334</v>
      </c>
      <c r="M62" s="4">
        <f t="shared" si="19"/>
        <v>7.3548781997619594E-4</v>
      </c>
    </row>
    <row r="63" spans="1:25" x14ac:dyDescent="0.4">
      <c r="C63" s="2">
        <v>70</v>
      </c>
      <c r="D63" s="12">
        <v>1.093315</v>
      </c>
      <c r="E63" s="12">
        <v>1.067914</v>
      </c>
      <c r="F63" s="12">
        <v>1.083556</v>
      </c>
      <c r="G63" s="4">
        <f t="shared" si="16"/>
        <v>1.0815950000000001</v>
      </c>
      <c r="H63" s="4">
        <f t="shared" si="17"/>
        <v>1.2813541313782071E-2</v>
      </c>
      <c r="I63" s="12">
        <v>1.0796460000000001</v>
      </c>
      <c r="J63" s="12">
        <v>1.078829</v>
      </c>
      <c r="K63" s="12">
        <v>1.07152</v>
      </c>
      <c r="L63" s="4">
        <f t="shared" si="18"/>
        <v>1.076665</v>
      </c>
      <c r="M63" s="4">
        <f t="shared" si="19"/>
        <v>4.4743872206147121E-3</v>
      </c>
    </row>
    <row r="64" spans="1:25" x14ac:dyDescent="0.35">
      <c r="K64" s="5"/>
    </row>
    <row r="65" spans="1:11" x14ac:dyDescent="0.35">
      <c r="K65" s="5"/>
    </row>
    <row r="66" spans="1:11" x14ac:dyDescent="0.35">
      <c r="K66" s="5"/>
    </row>
    <row r="67" spans="1:11" x14ac:dyDescent="0.35">
      <c r="K67" s="5"/>
    </row>
    <row r="68" spans="1:11" x14ac:dyDescent="0.35">
      <c r="K68" s="5"/>
    </row>
    <row r="69" spans="1:11" x14ac:dyDescent="0.35">
      <c r="C69" s="21" t="s">
        <v>40</v>
      </c>
      <c r="D69" s="21"/>
      <c r="E69" s="21"/>
      <c r="F69" s="21" t="s">
        <v>41</v>
      </c>
      <c r="G69" s="21"/>
      <c r="H69" s="21"/>
      <c r="K69" s="5"/>
    </row>
    <row r="70" spans="1:11" ht="17.25" x14ac:dyDescent="0.3">
      <c r="A70" s="1" t="s">
        <v>141</v>
      </c>
      <c r="B70" s="3" t="s">
        <v>42</v>
      </c>
      <c r="C70" s="2" t="s">
        <v>43</v>
      </c>
      <c r="D70" s="2" t="s">
        <v>44</v>
      </c>
      <c r="E70" s="2" t="s">
        <v>45</v>
      </c>
      <c r="F70" s="2" t="s">
        <v>43</v>
      </c>
      <c r="G70" s="2" t="s">
        <v>44</v>
      </c>
      <c r="H70" s="2" t="s">
        <v>45</v>
      </c>
    </row>
    <row r="71" spans="1:11" x14ac:dyDescent="0.3">
      <c r="C71" s="2">
        <v>1.16007018</v>
      </c>
      <c r="D71" s="2">
        <v>2.712452984</v>
      </c>
      <c r="E71" s="2">
        <v>4.2815701270000002</v>
      </c>
      <c r="F71" s="2">
        <v>1.140121988</v>
      </c>
      <c r="G71" s="2">
        <v>1.057844765</v>
      </c>
      <c r="H71" s="2">
        <v>1.1232361340000001</v>
      </c>
    </row>
    <row r="72" spans="1:11" x14ac:dyDescent="0.3">
      <c r="C72" s="2">
        <v>1.1054578749999999</v>
      </c>
      <c r="D72" s="2">
        <v>2.7322706160000001</v>
      </c>
      <c r="E72" s="2">
        <v>4.7410584460000003</v>
      </c>
      <c r="F72" s="2">
        <v>0.90479273699999996</v>
      </c>
      <c r="G72" s="2">
        <v>0.94781917999999998</v>
      </c>
      <c r="H72" s="2">
        <v>0.80577085400000004</v>
      </c>
    </row>
    <row r="73" spans="1:11" x14ac:dyDescent="0.3">
      <c r="C73" s="2">
        <v>0.73447194500000001</v>
      </c>
      <c r="D73" s="2">
        <v>2.909840596</v>
      </c>
      <c r="E73" s="2">
        <v>3.7598509550000001</v>
      </c>
      <c r="F73" s="2">
        <v>0.95508527499999996</v>
      </c>
      <c r="G73" s="2">
        <v>1.0135677169999999</v>
      </c>
      <c r="H73" s="2">
        <v>1.073219739</v>
      </c>
    </row>
    <row r="74" spans="1:11" x14ac:dyDescent="0.3">
      <c r="B74" s="4" t="s">
        <v>16</v>
      </c>
      <c r="C74" s="4">
        <f>AVERAGE(C71:C73)</f>
        <v>1</v>
      </c>
      <c r="D74" s="4">
        <f t="shared" ref="D74:H74" si="20">AVERAGE(D71:D73)</f>
        <v>2.7848547319999999</v>
      </c>
      <c r="E74" s="4">
        <f t="shared" si="20"/>
        <v>4.2608265093333335</v>
      </c>
      <c r="F74" s="4">
        <f t="shared" si="20"/>
        <v>1</v>
      </c>
      <c r="G74" s="4">
        <f t="shared" si="20"/>
        <v>1.0064105540000001</v>
      </c>
      <c r="H74" s="4">
        <f t="shared" si="20"/>
        <v>1.0007422423333334</v>
      </c>
    </row>
    <row r="75" spans="1:11" x14ac:dyDescent="0.3">
      <c r="B75" s="4" t="s">
        <v>17</v>
      </c>
      <c r="C75" s="4">
        <f>STDEV(C71:C73)</f>
        <v>0.23156961579277896</v>
      </c>
      <c r="D75" s="4">
        <f t="shared" ref="D75:H75" si="21">STDEV(D71:D73)</f>
        <v>0.10869353377451542</v>
      </c>
      <c r="E75" s="4">
        <f t="shared" si="21"/>
        <v>0.49093253951439653</v>
      </c>
      <c r="F75" s="4">
        <f t="shared" si="21"/>
        <v>0.12392725077812546</v>
      </c>
      <c r="G75" s="4">
        <f t="shared" si="21"/>
        <v>5.5360871338017113E-2</v>
      </c>
      <c r="H75" s="4">
        <f t="shared" si="21"/>
        <v>0.17069209601990842</v>
      </c>
    </row>
  </sheetData>
  <mergeCells count="20">
    <mergeCell ref="D56:F56"/>
    <mergeCell ref="I56:K56"/>
    <mergeCell ref="C69:E69"/>
    <mergeCell ref="F69:H69"/>
    <mergeCell ref="C42:M42"/>
    <mergeCell ref="O42:Y42"/>
    <mergeCell ref="D43:F43"/>
    <mergeCell ref="I43:K43"/>
    <mergeCell ref="P43:R43"/>
    <mergeCell ref="U43:W43"/>
    <mergeCell ref="C21:E21"/>
    <mergeCell ref="G21:I21"/>
    <mergeCell ref="C31:D31"/>
    <mergeCell ref="E31:F31"/>
    <mergeCell ref="G31:H31"/>
    <mergeCell ref="C2:D2"/>
    <mergeCell ref="E2:F2"/>
    <mergeCell ref="G2:H2"/>
    <mergeCell ref="C11:D11"/>
    <mergeCell ref="E11:F11"/>
  </mergeCells>
  <phoneticPr fontId="10" type="noConversion"/>
  <conditionalFormatting sqref="K77">
    <cfRule type="duplicateValues" dxfId="2" priority="1"/>
  </conditionalFormatting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Q38"/>
  <sheetViews>
    <sheetView zoomScale="70" zoomScaleNormal="70" workbookViewId="0">
      <selection activeCell="Y16" sqref="Y16"/>
    </sheetView>
  </sheetViews>
  <sheetFormatPr defaultColWidth="9.06640625" defaultRowHeight="13.9" x14ac:dyDescent="0.3"/>
  <cols>
    <col min="1" max="1" width="14.73046875" style="2" customWidth="1"/>
    <col min="2" max="2" width="8.53125" style="2" customWidth="1"/>
    <col min="3" max="3" width="13.796875" style="2" customWidth="1"/>
    <col min="4" max="16384" width="9.06640625" style="2"/>
  </cols>
  <sheetData>
    <row r="2" spans="1:17" x14ac:dyDescent="0.3">
      <c r="A2" s="16" t="s">
        <v>188</v>
      </c>
      <c r="C2" s="3" t="s">
        <v>53</v>
      </c>
      <c r="E2" s="21" t="s">
        <v>15</v>
      </c>
      <c r="F2" s="21"/>
      <c r="G2" s="21"/>
      <c r="H2" s="21"/>
      <c r="I2" s="21" t="s">
        <v>23</v>
      </c>
      <c r="J2" s="21"/>
      <c r="K2" s="21"/>
      <c r="L2" s="21"/>
      <c r="O2" s="17" t="s">
        <v>142</v>
      </c>
      <c r="P2" s="10" t="s">
        <v>77</v>
      </c>
      <c r="Q2" s="10" t="s">
        <v>78</v>
      </c>
    </row>
    <row r="3" spans="1:17" x14ac:dyDescent="0.3">
      <c r="D3" s="2" t="s">
        <v>54</v>
      </c>
      <c r="E3" s="2">
        <v>0</v>
      </c>
      <c r="F3" s="2">
        <v>1</v>
      </c>
      <c r="G3" s="2">
        <v>2</v>
      </c>
      <c r="H3" s="2">
        <v>3</v>
      </c>
      <c r="I3" s="2">
        <v>0</v>
      </c>
      <c r="J3" s="2">
        <v>1</v>
      </c>
      <c r="K3" s="2">
        <v>2</v>
      </c>
      <c r="L3" s="2">
        <v>3</v>
      </c>
      <c r="P3" s="2">
        <v>750.26800000000003</v>
      </c>
      <c r="Q3" s="2">
        <v>276.32400000000001</v>
      </c>
    </row>
    <row r="4" spans="1:17" x14ac:dyDescent="0.3">
      <c r="E4" s="2">
        <v>76.677099999999996</v>
      </c>
      <c r="F4" s="2">
        <v>186.745</v>
      </c>
      <c r="G4" s="2">
        <v>530.71199999999999</v>
      </c>
      <c r="H4" s="2">
        <v>750.26800000000003</v>
      </c>
      <c r="I4" s="2">
        <v>114.15</v>
      </c>
      <c r="J4" s="2">
        <v>181.21</v>
      </c>
      <c r="K4" s="2">
        <v>229.13300000000001</v>
      </c>
      <c r="L4" s="2">
        <v>276.32400000000001</v>
      </c>
      <c r="P4" s="2">
        <v>599.04</v>
      </c>
      <c r="Q4" s="2">
        <v>342.65499999999997</v>
      </c>
    </row>
    <row r="5" spans="1:17" x14ac:dyDescent="0.3">
      <c r="E5" s="2">
        <v>108.268</v>
      </c>
      <c r="F5" s="2">
        <v>139.94200000000001</v>
      </c>
      <c r="G5" s="2">
        <v>382.94799999999998</v>
      </c>
      <c r="H5" s="2">
        <v>599.04</v>
      </c>
      <c r="I5" s="2">
        <v>116.574</v>
      </c>
      <c r="J5" s="2">
        <v>180.154</v>
      </c>
      <c r="K5" s="2">
        <v>256.27699999999999</v>
      </c>
      <c r="L5" s="2">
        <v>342.65499999999997</v>
      </c>
      <c r="P5" s="2">
        <v>582.4</v>
      </c>
      <c r="Q5" s="2">
        <v>286.20800000000003</v>
      </c>
    </row>
    <row r="6" spans="1:17" x14ac:dyDescent="0.3">
      <c r="E6" s="2">
        <v>66.338999999999999</v>
      </c>
      <c r="F6" s="2">
        <v>200.74799999999999</v>
      </c>
      <c r="G6" s="2">
        <v>292.5</v>
      </c>
      <c r="H6" s="2">
        <v>582.4</v>
      </c>
      <c r="I6" s="2">
        <v>91.395200000000003</v>
      </c>
      <c r="J6" s="2">
        <v>146.01599999999999</v>
      </c>
      <c r="K6" s="2">
        <v>172.524</v>
      </c>
      <c r="L6" s="2">
        <v>286.20800000000003</v>
      </c>
      <c r="P6" s="2">
        <v>808.35299999999995</v>
      </c>
      <c r="Q6" s="2">
        <v>257.39999999999998</v>
      </c>
    </row>
    <row r="7" spans="1:17" x14ac:dyDescent="0.3">
      <c r="E7" s="2">
        <v>100.077</v>
      </c>
      <c r="F7" s="2">
        <v>227.22900000000001</v>
      </c>
      <c r="G7" s="2">
        <v>462.11399999999998</v>
      </c>
      <c r="H7" s="2">
        <v>808.35299999999995</v>
      </c>
      <c r="I7" s="2">
        <v>134.78399999999999</v>
      </c>
      <c r="J7" s="2">
        <v>152.727</v>
      </c>
      <c r="K7" s="2">
        <v>182.07400000000001</v>
      </c>
      <c r="L7" s="2">
        <v>257.39999999999998</v>
      </c>
      <c r="P7" s="2">
        <v>1065.94</v>
      </c>
      <c r="Q7" s="2">
        <v>216.40299999999999</v>
      </c>
    </row>
    <row r="8" spans="1:17" x14ac:dyDescent="0.3">
      <c r="E8" s="2">
        <v>106.964</v>
      </c>
      <c r="F8" s="2">
        <v>193.33600000000001</v>
      </c>
      <c r="G8" s="2">
        <v>633.55499999999995</v>
      </c>
      <c r="H8" s="2">
        <v>1065.94</v>
      </c>
      <c r="I8" s="2">
        <v>62.127000000000002</v>
      </c>
      <c r="J8" s="2">
        <v>99.3262</v>
      </c>
      <c r="K8" s="2">
        <v>152.85900000000001</v>
      </c>
      <c r="L8" s="2">
        <v>216.40299999999999</v>
      </c>
      <c r="O8" s="4" t="s">
        <v>143</v>
      </c>
      <c r="P8" s="4">
        <f>AVERAGE(P3:P7)</f>
        <v>761.2002</v>
      </c>
      <c r="Q8" s="4">
        <f>AVERAGE(Q3:Q7)</f>
        <v>275.798</v>
      </c>
    </row>
    <row r="9" spans="1:17" x14ac:dyDescent="0.3">
      <c r="D9" s="4" t="s">
        <v>16</v>
      </c>
      <c r="E9" s="4">
        <f>AVERAGE(E4:E8)</f>
        <v>91.665019999999998</v>
      </c>
      <c r="F9" s="4">
        <f t="shared" ref="F9:L9" si="0">AVERAGE(F4:F8)</f>
        <v>189.6</v>
      </c>
      <c r="G9" s="4">
        <f t="shared" si="0"/>
        <v>460.36579999999992</v>
      </c>
      <c r="H9" s="4">
        <f t="shared" si="0"/>
        <v>761.2002</v>
      </c>
      <c r="I9" s="4">
        <f t="shared" si="0"/>
        <v>103.80603999999998</v>
      </c>
      <c r="J9" s="4">
        <f t="shared" si="0"/>
        <v>151.88664</v>
      </c>
      <c r="K9" s="4">
        <f t="shared" si="0"/>
        <v>198.57340000000002</v>
      </c>
      <c r="L9" s="4">
        <f t="shared" si="0"/>
        <v>275.798</v>
      </c>
      <c r="O9" s="4" t="s">
        <v>144</v>
      </c>
      <c r="P9" s="4">
        <f>STDEV(P3:P7)</f>
        <v>195.8792276077273</v>
      </c>
      <c r="Q9" s="4">
        <f>STDEV(Q3:Q7)</f>
        <v>45.947675822613803</v>
      </c>
    </row>
    <row r="10" spans="1:17" x14ac:dyDescent="0.3">
      <c r="D10" s="4" t="s">
        <v>17</v>
      </c>
      <c r="E10" s="4">
        <f>STDEV(E4:E8)</f>
        <v>19.016599172880507</v>
      </c>
      <c r="F10" s="4">
        <f t="shared" ref="F10:L10" si="1">STDEV(F4:F8)</f>
        <v>31.734229272191367</v>
      </c>
      <c r="G10" s="4">
        <f t="shared" si="1"/>
        <v>131.45206885096965</v>
      </c>
      <c r="H10" s="4">
        <f t="shared" si="1"/>
        <v>195.8792276077273</v>
      </c>
      <c r="I10" s="4">
        <f t="shared" si="1"/>
        <v>27.93216623192701</v>
      </c>
      <c r="J10" s="4">
        <f t="shared" si="1"/>
        <v>33.379160995267846</v>
      </c>
      <c r="K10" s="4">
        <f t="shared" si="1"/>
        <v>42.732313338970911</v>
      </c>
      <c r="L10" s="4">
        <f t="shared" si="1"/>
        <v>45.947675822613803</v>
      </c>
    </row>
    <row r="14" spans="1:17" x14ac:dyDescent="0.3">
      <c r="A14" s="16" t="s">
        <v>189</v>
      </c>
      <c r="E14" s="21" t="s">
        <v>55</v>
      </c>
      <c r="F14" s="21"/>
      <c r="G14" s="10"/>
      <c r="H14" s="21" t="s">
        <v>56</v>
      </c>
      <c r="I14" s="21"/>
      <c r="J14" s="10"/>
      <c r="K14" s="21" t="s">
        <v>57</v>
      </c>
      <c r="L14" s="21"/>
    </row>
    <row r="15" spans="1:17" x14ac:dyDescent="0.3">
      <c r="E15" s="2" t="s">
        <v>15</v>
      </c>
      <c r="F15" s="2" t="s">
        <v>23</v>
      </c>
      <c r="H15" s="2" t="s">
        <v>15</v>
      </c>
      <c r="I15" s="2" t="s">
        <v>23</v>
      </c>
      <c r="K15" s="2" t="s">
        <v>15</v>
      </c>
      <c r="L15" s="2" t="s">
        <v>23</v>
      </c>
    </row>
    <row r="16" spans="1:17" x14ac:dyDescent="0.3">
      <c r="E16" s="2">
        <v>1.1585380000000001</v>
      </c>
      <c r="F16" s="2">
        <v>0.44492999999999999</v>
      </c>
      <c r="H16" s="2">
        <v>1.076017</v>
      </c>
      <c r="I16" s="2">
        <v>0.44547100000000001</v>
      </c>
      <c r="K16" s="2">
        <v>1.048748</v>
      </c>
      <c r="L16" s="2">
        <v>0.37869399999999998</v>
      </c>
    </row>
    <row r="17" spans="1:12" x14ac:dyDescent="0.3">
      <c r="E17" s="2">
        <v>1.023263</v>
      </c>
      <c r="F17" s="2">
        <v>0.49628899999999998</v>
      </c>
      <c r="H17" s="2">
        <v>0.92767999999999995</v>
      </c>
      <c r="I17" s="2">
        <v>0.57116500000000003</v>
      </c>
      <c r="K17" s="2">
        <v>0.96029200000000003</v>
      </c>
      <c r="L17" s="2">
        <v>0.44919599999999998</v>
      </c>
    </row>
    <row r="18" spans="1:12" x14ac:dyDescent="0.3">
      <c r="E18" s="2">
        <v>0.81819900000000001</v>
      </c>
      <c r="F18" s="2">
        <v>0.47673700000000002</v>
      </c>
      <c r="H18" s="2">
        <v>0.99630300000000005</v>
      </c>
      <c r="I18" s="2">
        <v>0.53396500000000002</v>
      </c>
      <c r="K18" s="2">
        <v>0.99096200000000001</v>
      </c>
      <c r="L18" s="2">
        <v>0.35288599999999998</v>
      </c>
    </row>
    <row r="19" spans="1:12" x14ac:dyDescent="0.3">
      <c r="D19" s="4" t="s">
        <v>16</v>
      </c>
      <c r="E19" s="4">
        <f>AVERAGE(E16:E18)</f>
        <v>1</v>
      </c>
      <c r="F19" s="4">
        <f t="shared" ref="F19:L19" si="2">AVERAGE(F16:F18)</f>
        <v>0.47265200000000002</v>
      </c>
      <c r="G19" s="4"/>
      <c r="H19" s="4">
        <f t="shared" si="2"/>
        <v>1</v>
      </c>
      <c r="I19" s="4">
        <f t="shared" si="2"/>
        <v>0.51686700000000008</v>
      </c>
      <c r="J19" s="4"/>
      <c r="K19" s="4">
        <f t="shared" si="2"/>
        <v>1.0000006666666668</v>
      </c>
      <c r="L19" s="4">
        <f t="shared" si="2"/>
        <v>0.393592</v>
      </c>
    </row>
    <row r="20" spans="1:12" x14ac:dyDescent="0.3">
      <c r="D20" s="4" t="s">
        <v>17</v>
      </c>
      <c r="E20" s="4">
        <f>STDEV(E16:E18)</f>
        <v>0.17135791229762404</v>
      </c>
      <c r="F20" s="4">
        <f t="shared" ref="F20:L20" si="3">STDEV(F16:F18)</f>
        <v>2.5922039638114895E-2</v>
      </c>
      <c r="G20" s="4"/>
      <c r="H20" s="4">
        <f t="shared" si="3"/>
        <v>7.4237573027409798E-2</v>
      </c>
      <c r="I20" s="4">
        <f t="shared" si="3"/>
        <v>6.4567806312433723E-2</v>
      </c>
      <c r="J20" s="4"/>
      <c r="K20" s="4">
        <f t="shared" si="3"/>
        <v>4.491535489488347E-2</v>
      </c>
      <c r="L20" s="4">
        <f t="shared" si="3"/>
        <v>4.9853453521295145E-2</v>
      </c>
    </row>
    <row r="23" spans="1:12" x14ac:dyDescent="0.3">
      <c r="E23" s="21" t="s">
        <v>14</v>
      </c>
      <c r="F23" s="21"/>
      <c r="H23" s="21" t="s">
        <v>58</v>
      </c>
      <c r="I23" s="21"/>
    </row>
    <row r="24" spans="1:12" x14ac:dyDescent="0.3">
      <c r="E24" s="2" t="s">
        <v>15</v>
      </c>
      <c r="F24" s="2" t="s">
        <v>23</v>
      </c>
      <c r="H24" s="2" t="s">
        <v>15</v>
      </c>
      <c r="I24" s="2" t="s">
        <v>23</v>
      </c>
    </row>
    <row r="25" spans="1:12" x14ac:dyDescent="0.3">
      <c r="E25" s="2">
        <v>1.049701</v>
      </c>
      <c r="F25" s="2">
        <v>0.38591900000000001</v>
      </c>
      <c r="H25" s="2">
        <v>1.09565</v>
      </c>
      <c r="I25" s="2">
        <v>0.39272200000000002</v>
      </c>
    </row>
    <row r="26" spans="1:12" x14ac:dyDescent="0.3">
      <c r="E26" s="2">
        <v>0.983595</v>
      </c>
      <c r="F26" s="2">
        <v>0.33161800000000002</v>
      </c>
      <c r="H26" s="2">
        <v>0.97066399999999997</v>
      </c>
      <c r="I26" s="2">
        <v>0.31731100000000001</v>
      </c>
    </row>
    <row r="27" spans="1:12" x14ac:dyDescent="0.3">
      <c r="E27" s="2">
        <v>0.96670599999999995</v>
      </c>
      <c r="F27" s="2">
        <v>0.34578399999999998</v>
      </c>
      <c r="H27" s="2">
        <v>0.93368499999999999</v>
      </c>
      <c r="I27" s="2">
        <v>0.340725</v>
      </c>
    </row>
    <row r="28" spans="1:12" x14ac:dyDescent="0.3">
      <c r="D28" s="4" t="s">
        <v>16</v>
      </c>
      <c r="E28" s="4">
        <f>AVERAGE(E25:E27)</f>
        <v>1.0000006666666665</v>
      </c>
      <c r="F28" s="4">
        <f t="shared" ref="F28:I28" si="4">AVERAGE(F25:F27)</f>
        <v>0.35444033333333341</v>
      </c>
      <c r="G28" s="4"/>
      <c r="H28" s="4">
        <f t="shared" si="4"/>
        <v>0.99999966666666673</v>
      </c>
      <c r="I28" s="4">
        <f t="shared" si="4"/>
        <v>0.35025266666666671</v>
      </c>
    </row>
    <row r="29" spans="1:12" x14ac:dyDescent="0.3">
      <c r="D29" s="4" t="s">
        <v>17</v>
      </c>
      <c r="E29" s="4">
        <f>STDEV(E25:E27)</f>
        <v>4.3862306486701481E-2</v>
      </c>
      <c r="F29" s="4">
        <f t="shared" ref="F29:I29" si="5">STDEV(F25:F27)</f>
        <v>2.8166446888688915E-2</v>
      </c>
      <c r="G29" s="4"/>
      <c r="H29" s="4">
        <f t="shared" si="5"/>
        <v>8.4874032014116876E-2</v>
      </c>
      <c r="I29" s="4">
        <f t="shared" si="5"/>
        <v>3.8597759706145297E-2</v>
      </c>
    </row>
    <row r="32" spans="1:12" x14ac:dyDescent="0.3">
      <c r="A32" s="16" t="s">
        <v>190</v>
      </c>
      <c r="D32" s="21" t="s">
        <v>59</v>
      </c>
      <c r="E32" s="21"/>
      <c r="G32" s="21" t="s">
        <v>60</v>
      </c>
      <c r="H32" s="21"/>
      <c r="J32" s="21" t="s">
        <v>61</v>
      </c>
      <c r="K32" s="21"/>
    </row>
    <row r="33" spans="3:11" x14ac:dyDescent="0.3">
      <c r="D33" s="2" t="s">
        <v>15</v>
      </c>
      <c r="E33" s="2" t="s">
        <v>23</v>
      </c>
      <c r="G33" s="2" t="s">
        <v>15</v>
      </c>
      <c r="H33" s="2" t="s">
        <v>23</v>
      </c>
      <c r="J33" s="2" t="s">
        <v>15</v>
      </c>
      <c r="K33" s="2" t="s">
        <v>23</v>
      </c>
    </row>
    <row r="34" spans="3:11" x14ac:dyDescent="0.3">
      <c r="D34" s="2">
        <v>1.0651856285316952</v>
      </c>
      <c r="E34" s="2">
        <v>2.9575932543524566</v>
      </c>
      <c r="G34" s="2">
        <v>1.0719803871262008</v>
      </c>
      <c r="H34" s="2">
        <v>1.5894979902505773</v>
      </c>
      <c r="J34" s="2">
        <v>1.2934331735172118</v>
      </c>
      <c r="K34" s="2">
        <v>2.8808382265797556</v>
      </c>
    </row>
    <row r="35" spans="3:11" x14ac:dyDescent="0.3">
      <c r="D35" s="2">
        <v>0.83857623180241869</v>
      </c>
      <c r="E35" s="2">
        <v>2.7161969475592795</v>
      </c>
      <c r="G35" s="2">
        <v>0.94922888337751932</v>
      </c>
      <c r="H35" s="2">
        <v>1.6492488383363266</v>
      </c>
      <c r="J35" s="2">
        <v>0.58411894629100902</v>
      </c>
      <c r="K35" s="2">
        <v>2.9658460378171632</v>
      </c>
    </row>
    <row r="36" spans="3:11" x14ac:dyDescent="0.3">
      <c r="D36" s="2">
        <v>1.0962381396658862</v>
      </c>
      <c r="E36" s="2">
        <v>2.5293009664301933</v>
      </c>
      <c r="G36" s="2">
        <v>0.97879072949627988</v>
      </c>
      <c r="H36" s="2">
        <v>1.7810370877162973</v>
      </c>
      <c r="J36" s="2">
        <v>1.1224478801917794</v>
      </c>
      <c r="K36" s="2">
        <v>3.2287884501427575</v>
      </c>
    </row>
    <row r="37" spans="3:11" x14ac:dyDescent="0.3">
      <c r="C37" s="4" t="s">
        <v>16</v>
      </c>
      <c r="D37" s="4">
        <f>AVERAGE(D34:D36)</f>
        <v>1</v>
      </c>
      <c r="E37" s="4">
        <f>AVERAGE(E34:E36)</f>
        <v>2.734363722780643</v>
      </c>
      <c r="F37" s="4"/>
      <c r="G37" s="4">
        <f>AVERAGE(G34:G36)</f>
        <v>1</v>
      </c>
      <c r="H37" s="4">
        <f>AVERAGE(H34:H36)</f>
        <v>1.6732613054344003</v>
      </c>
      <c r="I37" s="4"/>
      <c r="J37" s="4">
        <f>AVERAGE(J34:J36)</f>
        <v>1</v>
      </c>
      <c r="K37" s="4">
        <f>AVERAGE(K34:K36)</f>
        <v>3.0251575715132248</v>
      </c>
    </row>
    <row r="38" spans="3:11" x14ac:dyDescent="0.3">
      <c r="C38" s="4" t="s">
        <v>17</v>
      </c>
      <c r="D38" s="4">
        <f>STDEV(D34:D36)</f>
        <v>0.14065663623258146</v>
      </c>
      <c r="E38" s="4">
        <f>STDEV(E34:E36)</f>
        <v>0.21472329814176982</v>
      </c>
      <c r="F38" s="4"/>
      <c r="G38" s="4">
        <f t="shared" ref="G38:K38" si="6">STDEV(G34:G36)</f>
        <v>6.4065261917950672E-2</v>
      </c>
      <c r="H38" s="4">
        <f t="shared" si="6"/>
        <v>9.8001303035203102E-2</v>
      </c>
      <c r="I38" s="4"/>
      <c r="J38" s="4">
        <f t="shared" si="6"/>
        <v>0.37017128570294561</v>
      </c>
      <c r="K38" s="4">
        <f t="shared" si="6"/>
        <v>0.18139937442400428</v>
      </c>
    </row>
  </sheetData>
  <mergeCells count="10">
    <mergeCell ref="E23:F23"/>
    <mergeCell ref="H23:I23"/>
    <mergeCell ref="D32:E32"/>
    <mergeCell ref="G32:H32"/>
    <mergeCell ref="J32:K32"/>
    <mergeCell ref="E2:H2"/>
    <mergeCell ref="I2:L2"/>
    <mergeCell ref="E14:F14"/>
    <mergeCell ref="H14:I14"/>
    <mergeCell ref="K14:L14"/>
  </mergeCells>
  <phoneticPr fontId="10" type="noConversion"/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7"/>
  <sheetViews>
    <sheetView zoomScale="85" zoomScaleNormal="85" workbookViewId="0">
      <selection activeCell="J22" sqref="J22"/>
    </sheetView>
  </sheetViews>
  <sheetFormatPr defaultColWidth="9" defaultRowHeight="13.9" x14ac:dyDescent="0.3"/>
  <cols>
    <col min="1" max="1" width="13.06640625" style="2" customWidth="1"/>
    <col min="2" max="16384" width="9" style="2"/>
  </cols>
  <sheetData>
    <row r="1" spans="1:5" x14ac:dyDescent="0.3">
      <c r="D1" s="22" t="s">
        <v>0</v>
      </c>
      <c r="E1" s="22"/>
    </row>
    <row r="2" spans="1:5" x14ac:dyDescent="0.3">
      <c r="A2" s="16" t="s">
        <v>106</v>
      </c>
      <c r="D2" s="2" t="s">
        <v>1</v>
      </c>
      <c r="E2" s="2" t="s">
        <v>2</v>
      </c>
    </row>
    <row r="3" spans="1:5" x14ac:dyDescent="0.3">
      <c r="C3" s="2" t="s">
        <v>3</v>
      </c>
      <c r="D3" s="2">
        <v>133.33330000000001</v>
      </c>
      <c r="E3" s="2">
        <v>139.33330000000001</v>
      </c>
    </row>
    <row r="4" spans="1:5" x14ac:dyDescent="0.3">
      <c r="C4" s="2" t="s">
        <v>3</v>
      </c>
      <c r="D4" s="2">
        <v>108.66670000000001</v>
      </c>
      <c r="E4" s="2">
        <v>104</v>
      </c>
    </row>
    <row r="5" spans="1:5" x14ac:dyDescent="0.3">
      <c r="C5" s="2" t="s">
        <v>3</v>
      </c>
      <c r="D5" s="2">
        <v>94.666669999999996</v>
      </c>
      <c r="E5" s="2">
        <v>102.66670000000001</v>
      </c>
    </row>
    <row r="6" spans="1:5" x14ac:dyDescent="0.3">
      <c r="C6" s="2" t="s">
        <v>3</v>
      </c>
      <c r="D6" s="2">
        <v>107.33329999999999</v>
      </c>
      <c r="E6" s="2">
        <v>105.33329999999999</v>
      </c>
    </row>
    <row r="7" spans="1:5" x14ac:dyDescent="0.3">
      <c r="C7" s="2" t="s">
        <v>3</v>
      </c>
      <c r="D7" s="2">
        <v>102</v>
      </c>
      <c r="E7" s="2">
        <v>97.333330000000004</v>
      </c>
    </row>
    <row r="8" spans="1:5" x14ac:dyDescent="0.3">
      <c r="C8" s="2" t="s">
        <v>3</v>
      </c>
      <c r="D8" s="2">
        <v>121.33329999999999</v>
      </c>
      <c r="E8" s="2">
        <v>112.66670000000001</v>
      </c>
    </row>
    <row r="10" spans="1:5" x14ac:dyDescent="0.3">
      <c r="C10" s="2" t="s">
        <v>4</v>
      </c>
      <c r="D10" s="2">
        <v>105.33329999999999</v>
      </c>
      <c r="E10" s="2">
        <v>101.33329999999999</v>
      </c>
    </row>
    <row r="11" spans="1:5" x14ac:dyDescent="0.3">
      <c r="C11" s="2" t="s">
        <v>4</v>
      </c>
      <c r="D11" s="2">
        <v>104</v>
      </c>
      <c r="E11" s="2">
        <v>108.66670000000001</v>
      </c>
    </row>
    <row r="12" spans="1:5" x14ac:dyDescent="0.3">
      <c r="C12" s="2" t="s">
        <v>4</v>
      </c>
      <c r="D12" s="2">
        <v>119.33329999999999</v>
      </c>
      <c r="E12" s="2">
        <v>118.66670000000001</v>
      </c>
    </row>
    <row r="13" spans="1:5" x14ac:dyDescent="0.3">
      <c r="C13" s="2" t="s">
        <v>4</v>
      </c>
      <c r="D13" s="2">
        <v>110</v>
      </c>
      <c r="E13" s="2">
        <v>116</v>
      </c>
    </row>
    <row r="14" spans="1:5" x14ac:dyDescent="0.3">
      <c r="C14" s="2" t="s">
        <v>4</v>
      </c>
      <c r="D14" s="2">
        <v>125.33329999999999</v>
      </c>
      <c r="E14" s="2">
        <v>124</v>
      </c>
    </row>
    <row r="15" spans="1:5" x14ac:dyDescent="0.3">
      <c r="C15" s="2" t="s">
        <v>4</v>
      </c>
      <c r="D15" s="2">
        <v>115.33329999999999</v>
      </c>
      <c r="E15" s="2">
        <v>116.33329999999999</v>
      </c>
    </row>
    <row r="17" spans="3:5" x14ac:dyDescent="0.3">
      <c r="C17" s="2" t="s">
        <v>5</v>
      </c>
      <c r="D17" s="2">
        <v>103.33329999999999</v>
      </c>
      <c r="E17" s="2">
        <v>100.66670000000001</v>
      </c>
    </row>
    <row r="18" spans="3:5" x14ac:dyDescent="0.3">
      <c r="C18" s="2" t="s">
        <v>5</v>
      </c>
      <c r="D18" s="2">
        <v>108</v>
      </c>
      <c r="E18" s="2">
        <v>98.666669999999996</v>
      </c>
    </row>
    <row r="19" spans="3:5" x14ac:dyDescent="0.3">
      <c r="C19" s="2" t="s">
        <v>5</v>
      </c>
      <c r="D19" s="2">
        <v>195</v>
      </c>
      <c r="E19" s="2">
        <v>173</v>
      </c>
    </row>
    <row r="20" spans="3:5" x14ac:dyDescent="0.3">
      <c r="C20" s="2" t="s">
        <v>5</v>
      </c>
      <c r="D20" s="2">
        <v>101.33329999999999</v>
      </c>
      <c r="E20" s="2">
        <v>104.66670000000001</v>
      </c>
    </row>
    <row r="21" spans="3:5" x14ac:dyDescent="0.3">
      <c r="C21" s="2" t="s">
        <v>5</v>
      </c>
      <c r="D21" s="2">
        <v>104.66670000000001</v>
      </c>
      <c r="E21" s="2">
        <v>113.33329999999999</v>
      </c>
    </row>
    <row r="22" spans="3:5" x14ac:dyDescent="0.3">
      <c r="C22" s="2" t="s">
        <v>5</v>
      </c>
      <c r="D22" s="2">
        <v>99.333330000000004</v>
      </c>
      <c r="E22" s="2">
        <v>114</v>
      </c>
    </row>
    <row r="23" spans="3:5" x14ac:dyDescent="0.3">
      <c r="C23" s="2" t="s">
        <v>5</v>
      </c>
      <c r="D23" s="2">
        <v>88.666669999999996</v>
      </c>
      <c r="E23" s="2">
        <v>100</v>
      </c>
    </row>
    <row r="25" spans="3:5" x14ac:dyDescent="0.3">
      <c r="C25" s="2" t="s">
        <v>6</v>
      </c>
      <c r="D25" s="2">
        <v>123.66670000000001</v>
      </c>
      <c r="E25" s="2">
        <v>115</v>
      </c>
    </row>
    <row r="26" spans="3:5" x14ac:dyDescent="0.3">
      <c r="C26" s="2" t="s">
        <v>6</v>
      </c>
      <c r="D26" s="2">
        <v>147.33330000000001</v>
      </c>
      <c r="E26" s="2">
        <v>135.33330000000001</v>
      </c>
    </row>
    <row r="27" spans="3:5" x14ac:dyDescent="0.3">
      <c r="C27" s="2" t="s">
        <v>6</v>
      </c>
      <c r="D27" s="2">
        <v>100</v>
      </c>
      <c r="E27" s="2">
        <v>103.66670000000001</v>
      </c>
    </row>
    <row r="28" spans="3:5" x14ac:dyDescent="0.3">
      <c r="C28" s="2" t="s">
        <v>6</v>
      </c>
      <c r="D28" s="2">
        <v>97</v>
      </c>
      <c r="E28" s="2">
        <v>106</v>
      </c>
    </row>
    <row r="29" spans="3:5" x14ac:dyDescent="0.3">
      <c r="C29" s="2" t="s">
        <v>6</v>
      </c>
      <c r="D29" s="2">
        <v>102.66670000000001</v>
      </c>
      <c r="E29" s="2">
        <v>98</v>
      </c>
    </row>
    <row r="31" spans="3:5" x14ac:dyDescent="0.3">
      <c r="C31" s="2" t="s">
        <v>7</v>
      </c>
      <c r="D31" s="2">
        <v>114</v>
      </c>
      <c r="E31" s="2">
        <v>106.66670000000001</v>
      </c>
    </row>
    <row r="32" spans="3:5" x14ac:dyDescent="0.3">
      <c r="C32" s="2" t="s">
        <v>7</v>
      </c>
      <c r="D32" s="2">
        <v>109</v>
      </c>
      <c r="E32" s="2">
        <v>99</v>
      </c>
    </row>
    <row r="33" spans="3:5" x14ac:dyDescent="0.3">
      <c r="C33" s="2" t="s">
        <v>7</v>
      </c>
      <c r="D33" s="2">
        <v>137</v>
      </c>
      <c r="E33" s="2">
        <v>116.66670000000001</v>
      </c>
    </row>
    <row r="34" spans="3:5" x14ac:dyDescent="0.3">
      <c r="C34" s="2" t="s">
        <v>7</v>
      </c>
      <c r="D34" s="2">
        <v>112.66670000000001</v>
      </c>
      <c r="E34" s="2">
        <v>108</v>
      </c>
    </row>
    <row r="35" spans="3:5" x14ac:dyDescent="0.3">
      <c r="C35" s="2" t="s">
        <v>7</v>
      </c>
      <c r="D35" s="2">
        <v>96</v>
      </c>
      <c r="E35" s="2">
        <v>101.66670000000001</v>
      </c>
    </row>
    <row r="37" spans="3:5" x14ac:dyDescent="0.3">
      <c r="C37" s="2" t="s">
        <v>8</v>
      </c>
      <c r="D37" s="2">
        <v>120.66670000000001</v>
      </c>
      <c r="E37" s="2">
        <v>120</v>
      </c>
    </row>
    <row r="38" spans="3:5" x14ac:dyDescent="0.3">
      <c r="C38" s="2" t="s">
        <v>8</v>
      </c>
      <c r="D38" s="2">
        <v>116</v>
      </c>
      <c r="E38" s="2">
        <v>111.33329999999999</v>
      </c>
    </row>
    <row r="39" spans="3:5" x14ac:dyDescent="0.3">
      <c r="C39" s="2" t="s">
        <v>8</v>
      </c>
      <c r="D39" s="2">
        <v>82.666669999999996</v>
      </c>
      <c r="E39" s="2">
        <v>96.666669999999996</v>
      </c>
    </row>
    <row r="40" spans="3:5" x14ac:dyDescent="0.3">
      <c r="C40" s="2" t="s">
        <v>8</v>
      </c>
      <c r="D40" s="2">
        <v>109.33329999999999</v>
      </c>
      <c r="E40" s="2">
        <v>110.66670000000001</v>
      </c>
    </row>
    <row r="41" spans="3:5" x14ac:dyDescent="0.3">
      <c r="C41" s="2" t="s">
        <v>8</v>
      </c>
      <c r="D41" s="2">
        <v>106.66670000000001</v>
      </c>
      <c r="E41" s="2">
        <v>111.66670000000001</v>
      </c>
    </row>
    <row r="42" spans="3:5" x14ac:dyDescent="0.3">
      <c r="C42" s="2" t="s">
        <v>8</v>
      </c>
      <c r="D42" s="2">
        <v>112</v>
      </c>
      <c r="E42" s="2">
        <v>109.33329999999999</v>
      </c>
    </row>
    <row r="44" spans="3:5" x14ac:dyDescent="0.3">
      <c r="C44" s="2" t="s">
        <v>9</v>
      </c>
      <c r="D44" s="2">
        <v>106</v>
      </c>
      <c r="E44" s="2">
        <v>103.33329999999999</v>
      </c>
    </row>
    <row r="45" spans="3:5" x14ac:dyDescent="0.3">
      <c r="C45" s="2" t="s">
        <v>9</v>
      </c>
      <c r="D45" s="2">
        <v>110.66670000000001</v>
      </c>
      <c r="E45" s="2">
        <v>120.66670000000001</v>
      </c>
    </row>
    <row r="46" spans="3:5" x14ac:dyDescent="0.3">
      <c r="C46" s="2" t="s">
        <v>9</v>
      </c>
      <c r="D46" s="2">
        <v>141.66669999999999</v>
      </c>
      <c r="E46" s="2">
        <v>146.66669999999999</v>
      </c>
    </row>
    <row r="47" spans="3:5" x14ac:dyDescent="0.3">
      <c r="C47" s="2" t="s">
        <v>9</v>
      </c>
      <c r="D47" s="2">
        <v>159.66669999999999</v>
      </c>
      <c r="E47" s="2">
        <v>130</v>
      </c>
    </row>
    <row r="48" spans="3:5" x14ac:dyDescent="0.3">
      <c r="C48" s="2" t="s">
        <v>9</v>
      </c>
      <c r="D48" s="2">
        <v>116.66670000000001</v>
      </c>
      <c r="E48" s="2">
        <v>107.33329999999999</v>
      </c>
    </row>
    <row r="49" spans="3:5" x14ac:dyDescent="0.3">
      <c r="C49" s="2" t="s">
        <v>9</v>
      </c>
      <c r="D49" s="2">
        <v>92</v>
      </c>
      <c r="E49" s="2">
        <v>94</v>
      </c>
    </row>
    <row r="50" spans="3:5" x14ac:dyDescent="0.3">
      <c r="C50" s="2" t="s">
        <v>9</v>
      </c>
      <c r="D50" s="2">
        <v>107.66670000000001</v>
      </c>
      <c r="E50" s="2">
        <v>105</v>
      </c>
    </row>
    <row r="52" spans="3:5" x14ac:dyDescent="0.3">
      <c r="C52" s="2" t="s">
        <v>10</v>
      </c>
      <c r="D52" s="2">
        <v>198</v>
      </c>
      <c r="E52" s="2">
        <v>146</v>
      </c>
    </row>
    <row r="53" spans="3:5" x14ac:dyDescent="0.3">
      <c r="C53" s="2" t="s">
        <v>10</v>
      </c>
      <c r="D53" s="2">
        <v>103</v>
      </c>
      <c r="E53" s="2">
        <v>93.333330000000004</v>
      </c>
    </row>
    <row r="54" spans="3:5" x14ac:dyDescent="0.3">
      <c r="C54" s="2" t="s">
        <v>10</v>
      </c>
      <c r="D54" s="2">
        <v>113</v>
      </c>
      <c r="E54" s="2">
        <v>110.33329999999999</v>
      </c>
    </row>
    <row r="55" spans="3:5" x14ac:dyDescent="0.3">
      <c r="C55" s="2" t="s">
        <v>10</v>
      </c>
      <c r="D55" s="2">
        <v>129.33330000000001</v>
      </c>
      <c r="E55" s="2">
        <v>127</v>
      </c>
    </row>
    <row r="56" spans="3:5" x14ac:dyDescent="0.3">
      <c r="C56" s="2" t="s">
        <v>10</v>
      </c>
      <c r="D56" s="2">
        <v>111.33329999999999</v>
      </c>
      <c r="E56" s="2">
        <v>114.66670000000001</v>
      </c>
    </row>
    <row r="57" spans="3:5" x14ac:dyDescent="0.3">
      <c r="C57" s="2" t="s">
        <v>10</v>
      </c>
      <c r="D57" s="2">
        <v>100.66670000000001</v>
      </c>
      <c r="E57" s="2">
        <v>102</v>
      </c>
    </row>
  </sheetData>
  <mergeCells count="1">
    <mergeCell ref="D1:E1"/>
  </mergeCells>
  <phoneticPr fontId="10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9"/>
  <sheetViews>
    <sheetView zoomScale="85" zoomScaleNormal="85" workbookViewId="0">
      <selection activeCell="D11" sqref="D11"/>
    </sheetView>
  </sheetViews>
  <sheetFormatPr defaultColWidth="9" defaultRowHeight="13.9" x14ac:dyDescent="0.3"/>
  <cols>
    <col min="1" max="1" width="17.19921875" style="2" customWidth="1"/>
    <col min="2" max="2" width="13.265625" style="2" customWidth="1"/>
    <col min="3" max="3" width="9" style="2"/>
    <col min="4" max="4" width="12.53125" style="2" customWidth="1"/>
    <col min="5" max="5" width="12.796875" style="2" customWidth="1"/>
    <col min="6" max="6" width="13" style="2" customWidth="1"/>
    <col min="7" max="7" width="12.796875" style="2" customWidth="1"/>
    <col min="8" max="8" width="12.33203125" style="2" customWidth="1"/>
    <col min="9" max="9" width="12.53125" style="2" customWidth="1"/>
    <col min="10" max="10" width="12.33203125" style="2" customWidth="1"/>
    <col min="11" max="11" width="13.59765625" style="2" customWidth="1"/>
    <col min="12" max="12" width="13.06640625" style="2" customWidth="1"/>
    <col min="13" max="13" width="13.796875" style="2" customWidth="1"/>
    <col min="14" max="14" width="9" style="2"/>
    <col min="15" max="15" width="12.9296875" style="2" customWidth="1"/>
    <col min="16" max="16" width="14.19921875" style="2" customWidth="1"/>
    <col min="17" max="16384" width="9" style="2"/>
  </cols>
  <sheetData>
    <row r="1" spans="1:19" x14ac:dyDescent="0.3">
      <c r="C1" s="21" t="s">
        <v>11</v>
      </c>
      <c r="D1" s="21"/>
      <c r="E1" s="21"/>
      <c r="G1" s="21" t="s">
        <v>12</v>
      </c>
      <c r="H1" s="21"/>
      <c r="I1" s="21"/>
      <c r="K1" s="21" t="s">
        <v>13</v>
      </c>
      <c r="L1" s="21"/>
      <c r="M1" s="21"/>
    </row>
    <row r="2" spans="1:19" x14ac:dyDescent="0.3">
      <c r="A2" s="16" t="s">
        <v>107</v>
      </c>
      <c r="B2" s="3" t="s">
        <v>14</v>
      </c>
      <c r="C2" s="2" t="s">
        <v>15</v>
      </c>
      <c r="D2" s="2" t="s">
        <v>110</v>
      </c>
      <c r="E2" s="2" t="s">
        <v>111</v>
      </c>
      <c r="G2" s="2" t="s">
        <v>15</v>
      </c>
      <c r="H2" s="2" t="s">
        <v>110</v>
      </c>
      <c r="I2" s="2" t="s">
        <v>111</v>
      </c>
      <c r="K2" s="2" t="s">
        <v>15</v>
      </c>
      <c r="L2" s="2" t="s">
        <v>110</v>
      </c>
      <c r="M2" s="2" t="s">
        <v>111</v>
      </c>
    </row>
    <row r="3" spans="1:19" x14ac:dyDescent="0.3">
      <c r="C3" s="2">
        <v>1.0165329999999999</v>
      </c>
      <c r="D3" s="2">
        <v>0.50139199999999995</v>
      </c>
      <c r="E3" s="2">
        <v>0.225026</v>
      </c>
      <c r="G3" s="2">
        <v>1.052667</v>
      </c>
      <c r="H3" s="2">
        <v>0.476159</v>
      </c>
      <c r="I3" s="2">
        <v>0.170128</v>
      </c>
      <c r="K3" s="2">
        <v>1.0813060000000001</v>
      </c>
      <c r="L3" s="2">
        <v>0.49697999999999998</v>
      </c>
      <c r="M3" s="2">
        <v>0.18857099999999999</v>
      </c>
    </row>
    <row r="4" spans="1:19" x14ac:dyDescent="0.3">
      <c r="C4" s="2">
        <v>1.0306299999999999</v>
      </c>
      <c r="D4" s="2">
        <v>0.55743100000000001</v>
      </c>
      <c r="E4" s="2">
        <v>0.254612</v>
      </c>
      <c r="G4" s="2">
        <v>0.94018900000000005</v>
      </c>
      <c r="H4" s="2">
        <v>0.42033599999999999</v>
      </c>
      <c r="I4" s="2">
        <v>0.18723999999999999</v>
      </c>
      <c r="K4" s="2">
        <v>0.91249000000000002</v>
      </c>
      <c r="L4" s="2">
        <v>0.42138799999999998</v>
      </c>
      <c r="M4" s="2">
        <v>0.249143</v>
      </c>
    </row>
    <row r="5" spans="1:19" x14ac:dyDescent="0.3">
      <c r="C5" s="2">
        <v>0.95283700000000005</v>
      </c>
      <c r="D5" s="2">
        <v>0.59954799999999997</v>
      </c>
      <c r="E5" s="2">
        <v>0.28489399999999998</v>
      </c>
      <c r="G5" s="2">
        <v>1.007144</v>
      </c>
      <c r="H5" s="2">
        <v>0.46834999999999999</v>
      </c>
      <c r="I5" s="2">
        <v>0.221798</v>
      </c>
      <c r="K5" s="2">
        <v>1.0062040000000001</v>
      </c>
      <c r="L5" s="2">
        <v>0.377469</v>
      </c>
      <c r="M5" s="2">
        <v>0.26008199999999998</v>
      </c>
    </row>
    <row r="6" spans="1:19" s="4" customFormat="1" x14ac:dyDescent="0.3">
      <c r="B6" s="4" t="s">
        <v>16</v>
      </c>
      <c r="C6" s="4">
        <f>AVERAGE(C3:C5)</f>
        <v>1</v>
      </c>
      <c r="D6" s="4">
        <f t="shared" ref="D6:M6" si="0">AVERAGE(D3:D5)</f>
        <v>0.55279033333333327</v>
      </c>
      <c r="E6" s="4">
        <f t="shared" si="0"/>
        <v>0.25484400000000001</v>
      </c>
      <c r="G6" s="4">
        <f t="shared" si="0"/>
        <v>1</v>
      </c>
      <c r="H6" s="4">
        <f t="shared" si="0"/>
        <v>0.45494833333333334</v>
      </c>
      <c r="I6" s="4">
        <f t="shared" si="0"/>
        <v>0.19305533333333336</v>
      </c>
      <c r="K6" s="4">
        <f t="shared" si="0"/>
        <v>1</v>
      </c>
      <c r="L6" s="4">
        <f t="shared" si="0"/>
        <v>0.43194566666666662</v>
      </c>
      <c r="M6" s="4">
        <f t="shared" si="0"/>
        <v>0.23259866666666665</v>
      </c>
    </row>
    <row r="7" spans="1:19" s="4" customFormat="1" x14ac:dyDescent="0.3">
      <c r="B7" s="4" t="s">
        <v>17</v>
      </c>
      <c r="C7" s="4">
        <f>STDEV(C3:C5)</f>
        <v>4.1448073284532712E-2</v>
      </c>
      <c r="D7" s="4">
        <f t="shared" ref="D7:M7" si="1">STDEV(D3:D5)</f>
        <v>4.9242277814225195E-2</v>
      </c>
      <c r="E7" s="4">
        <f t="shared" si="1"/>
        <v>2.993467427582935E-2</v>
      </c>
      <c r="G7" s="4">
        <f t="shared" si="1"/>
        <v>5.6578287999903269E-2</v>
      </c>
      <c r="H7" s="4">
        <f t="shared" si="1"/>
        <v>3.0228386234354847E-2</v>
      </c>
      <c r="I7" s="4">
        <f t="shared" si="1"/>
        <v>2.632129938535167E-2</v>
      </c>
      <c r="K7" s="4">
        <f t="shared" si="1"/>
        <v>8.4578825222392434E-2</v>
      </c>
      <c r="L7" s="4">
        <f t="shared" si="1"/>
        <v>6.0450955528704081E-2</v>
      </c>
      <c r="M7" s="4">
        <f t="shared" si="1"/>
        <v>3.8519371806057995E-2</v>
      </c>
    </row>
    <row r="10" spans="1:19" x14ac:dyDescent="0.3">
      <c r="C10" s="21" t="s">
        <v>11</v>
      </c>
      <c r="D10" s="21"/>
      <c r="E10" s="21"/>
      <c r="F10" s="21"/>
      <c r="G10" s="21"/>
      <c r="I10" s="21" t="s">
        <v>12</v>
      </c>
      <c r="J10" s="21"/>
      <c r="K10" s="21"/>
      <c r="L10" s="21"/>
      <c r="M10" s="21"/>
      <c r="O10" s="21" t="s">
        <v>13</v>
      </c>
      <c r="P10" s="21"/>
      <c r="Q10" s="21"/>
      <c r="R10" s="21"/>
      <c r="S10" s="21"/>
    </row>
    <row r="11" spans="1:19" x14ac:dyDescent="0.3">
      <c r="A11" s="16" t="s">
        <v>108</v>
      </c>
      <c r="B11" s="3" t="s">
        <v>14</v>
      </c>
      <c r="C11" s="2" t="s">
        <v>15</v>
      </c>
      <c r="D11" s="2" t="s">
        <v>18</v>
      </c>
      <c r="E11" s="2" t="s">
        <v>19</v>
      </c>
      <c r="F11" s="2" t="s">
        <v>20</v>
      </c>
      <c r="G11" s="2" t="s">
        <v>21</v>
      </c>
      <c r="I11" s="2" t="s">
        <v>15</v>
      </c>
      <c r="J11" s="2" t="s">
        <v>18</v>
      </c>
      <c r="K11" s="2" t="s">
        <v>19</v>
      </c>
      <c r="L11" s="2" t="s">
        <v>20</v>
      </c>
      <c r="M11" s="2" t="s">
        <v>21</v>
      </c>
      <c r="O11" s="2" t="s">
        <v>15</v>
      </c>
      <c r="P11" s="2" t="s">
        <v>18</v>
      </c>
      <c r="Q11" s="2" t="s">
        <v>19</v>
      </c>
      <c r="R11" s="2" t="s">
        <v>20</v>
      </c>
      <c r="S11" s="2" t="s">
        <v>21</v>
      </c>
    </row>
    <row r="12" spans="1:19" x14ac:dyDescent="0.4">
      <c r="C12" s="2">
        <v>1.0011760000000001</v>
      </c>
      <c r="D12" s="2">
        <v>0.27062700000000001</v>
      </c>
      <c r="E12" s="2">
        <v>0.24993299999999999</v>
      </c>
      <c r="F12" s="2">
        <v>0.93636699999999995</v>
      </c>
      <c r="G12" s="2">
        <v>0.96492199999999995</v>
      </c>
      <c r="I12" s="2">
        <v>1.005081785</v>
      </c>
      <c r="J12" s="12">
        <v>0.34032078799999999</v>
      </c>
      <c r="K12" s="12">
        <v>0.390185803</v>
      </c>
      <c r="L12" s="12">
        <v>0.94822931600000004</v>
      </c>
      <c r="M12" s="12">
        <v>0.990312847</v>
      </c>
      <c r="O12" s="2">
        <v>1.015773</v>
      </c>
      <c r="P12" s="2">
        <v>0.25304199999999999</v>
      </c>
      <c r="Q12" s="2">
        <v>0.37196400000000002</v>
      </c>
      <c r="R12" s="2">
        <v>0.91769000000000001</v>
      </c>
      <c r="S12" s="12">
        <v>0.988981</v>
      </c>
    </row>
    <row r="13" spans="1:19" x14ac:dyDescent="0.4">
      <c r="C13" s="2">
        <v>0.97582999999999998</v>
      </c>
      <c r="D13" s="2">
        <v>0.291161</v>
      </c>
      <c r="E13" s="2">
        <v>0.292605</v>
      </c>
      <c r="F13" s="2">
        <v>0.87155800000000005</v>
      </c>
      <c r="G13" s="2">
        <v>0.93460200000000004</v>
      </c>
      <c r="I13" s="2">
        <v>1.0409718910000001</v>
      </c>
      <c r="J13" s="12">
        <v>0.28362712400000001</v>
      </c>
      <c r="K13" s="12">
        <v>0.33809750700000002</v>
      </c>
      <c r="L13" s="12">
        <v>0.84834047999999995</v>
      </c>
      <c r="M13" s="12">
        <v>0.92488486599999997</v>
      </c>
      <c r="O13" s="2">
        <v>1.0279940000000001</v>
      </c>
      <c r="P13" s="2">
        <v>0.29628700000000002</v>
      </c>
      <c r="Q13" s="2">
        <v>0.33921800000000002</v>
      </c>
      <c r="R13" s="2">
        <v>0.84232600000000002</v>
      </c>
      <c r="S13" s="2">
        <v>0.894814</v>
      </c>
    </row>
    <row r="14" spans="1:19" x14ac:dyDescent="0.4">
      <c r="C14" s="2">
        <v>1.022993</v>
      </c>
      <c r="D14" s="2">
        <v>0.308647</v>
      </c>
      <c r="E14" s="2">
        <v>0.27784599999999998</v>
      </c>
      <c r="F14" s="2">
        <v>0.95080500000000001</v>
      </c>
      <c r="G14" s="2">
        <v>0.90556700000000001</v>
      </c>
      <c r="I14" s="2">
        <v>0.95394632400000001</v>
      </c>
      <c r="J14" s="12">
        <v>0.32047006500000003</v>
      </c>
      <c r="K14" s="12">
        <v>0.32841035400000002</v>
      </c>
      <c r="L14" s="12">
        <v>0.91154517999999995</v>
      </c>
      <c r="M14" s="12">
        <v>0.91075115100000004</v>
      </c>
      <c r="O14" s="2">
        <v>0.95623400000000003</v>
      </c>
      <c r="P14" s="2">
        <v>0.23894099999999999</v>
      </c>
      <c r="Q14" s="2">
        <v>0.31414900000000001</v>
      </c>
      <c r="R14" s="2">
        <v>0.84890600000000005</v>
      </c>
      <c r="S14" s="2">
        <v>0.88619700000000001</v>
      </c>
    </row>
    <row r="15" spans="1:19" s="4" customFormat="1" x14ac:dyDescent="0.3">
      <c r="B15" s="4" t="s">
        <v>16</v>
      </c>
      <c r="C15" s="4">
        <v>1</v>
      </c>
      <c r="D15" s="4">
        <f t="shared" ref="D15:S15" si="2">AVERAGE(D12:D14)</f>
        <v>0.29014499999999999</v>
      </c>
      <c r="E15" s="4">
        <f t="shared" si="2"/>
        <v>0.27346133333333333</v>
      </c>
      <c r="F15" s="4">
        <f t="shared" si="2"/>
        <v>0.9195766666666666</v>
      </c>
      <c r="G15" s="4">
        <f t="shared" si="2"/>
        <v>0.9350303333333333</v>
      </c>
      <c r="I15" s="4">
        <f t="shared" si="2"/>
        <v>1</v>
      </c>
      <c r="J15" s="4">
        <f t="shared" si="2"/>
        <v>0.31480599233333334</v>
      </c>
      <c r="K15" s="4">
        <f t="shared" si="2"/>
        <v>0.35223122133333334</v>
      </c>
      <c r="L15" s="4">
        <f t="shared" si="2"/>
        <v>0.90270499199999998</v>
      </c>
      <c r="M15" s="4">
        <f t="shared" si="2"/>
        <v>0.94198295466666659</v>
      </c>
      <c r="O15" s="4">
        <v>1</v>
      </c>
      <c r="P15" s="4">
        <f t="shared" si="2"/>
        <v>0.26275666666666664</v>
      </c>
      <c r="Q15" s="4">
        <f t="shared" si="2"/>
        <v>0.341777</v>
      </c>
      <c r="R15" s="4">
        <f t="shared" si="2"/>
        <v>0.86964066666666673</v>
      </c>
      <c r="S15" s="4">
        <f t="shared" si="2"/>
        <v>0.92333066666666674</v>
      </c>
    </row>
    <row r="16" spans="1:19" s="4" customFormat="1" x14ac:dyDescent="0.3">
      <c r="B16" s="4" t="s">
        <v>17</v>
      </c>
      <c r="C16" s="4">
        <f>STDEV(C12:C14)</f>
        <v>2.3603494705939945E-2</v>
      </c>
      <c r="D16" s="4">
        <f t="shared" ref="D16:S16" si="3">STDEV(D12:D14)</f>
        <v>1.9030351862222621E-2</v>
      </c>
      <c r="E16" s="4">
        <f t="shared" si="3"/>
        <v>2.1671268360050677E-2</v>
      </c>
      <c r="F16" s="4">
        <f t="shared" si="3"/>
        <v>4.2207324273558618E-2</v>
      </c>
      <c r="G16" s="4">
        <f t="shared" si="3"/>
        <v>2.9679818199128703E-2</v>
      </c>
      <c r="I16" s="4">
        <f t="shared" si="3"/>
        <v>4.3734777145968677E-2</v>
      </c>
      <c r="J16" s="4">
        <f t="shared" si="3"/>
        <v>2.87681103622776E-2</v>
      </c>
      <c r="K16" s="4">
        <f t="shared" si="3"/>
        <v>3.3224583299570572E-2</v>
      </c>
      <c r="L16" s="4">
        <f t="shared" si="3"/>
        <v>5.0527780302178686E-2</v>
      </c>
      <c r="M16" s="4">
        <f t="shared" si="3"/>
        <v>4.244731257263526E-2</v>
      </c>
      <c r="O16" s="4">
        <f t="shared" si="3"/>
        <v>3.8392149722740646E-2</v>
      </c>
      <c r="P16" s="4">
        <f t="shared" si="3"/>
        <v>2.9881800319480994E-2</v>
      </c>
      <c r="Q16" s="4">
        <f t="shared" si="3"/>
        <v>2.8992325139595137E-2</v>
      </c>
      <c r="R16" s="4">
        <f t="shared" si="3"/>
        <v>4.1741800695865194E-2</v>
      </c>
      <c r="S16" s="4">
        <f t="shared" si="3"/>
        <v>5.7017873270872994E-2</v>
      </c>
    </row>
    <row r="21" spans="1:16" x14ac:dyDescent="0.3">
      <c r="C21" s="21" t="s">
        <v>11</v>
      </c>
      <c r="D21" s="21"/>
      <c r="E21" s="21"/>
      <c r="F21" s="21"/>
      <c r="H21" s="21" t="s">
        <v>12</v>
      </c>
      <c r="I21" s="21"/>
      <c r="J21" s="21"/>
      <c r="K21" s="21"/>
      <c r="M21" s="21" t="s">
        <v>13</v>
      </c>
      <c r="N21" s="21"/>
      <c r="O21" s="21"/>
      <c r="P21" s="21"/>
    </row>
    <row r="22" spans="1:16" x14ac:dyDescent="0.3">
      <c r="A22" s="16" t="s">
        <v>109</v>
      </c>
      <c r="B22" s="3" t="s">
        <v>22</v>
      </c>
      <c r="C22" s="2" t="s">
        <v>15</v>
      </c>
      <c r="D22" s="2" t="s">
        <v>23</v>
      </c>
      <c r="E22" s="2" t="s">
        <v>24</v>
      </c>
      <c r="F22" s="2" t="s">
        <v>25</v>
      </c>
      <c r="H22" s="2" t="s">
        <v>15</v>
      </c>
      <c r="I22" s="2" t="s">
        <v>23</v>
      </c>
      <c r="J22" s="2" t="s">
        <v>24</v>
      </c>
      <c r="K22" s="2" t="s">
        <v>25</v>
      </c>
      <c r="M22" s="2" t="s">
        <v>15</v>
      </c>
      <c r="N22" s="2" t="s">
        <v>23</v>
      </c>
      <c r="O22" s="2" t="s">
        <v>24</v>
      </c>
      <c r="P22" s="2" t="s">
        <v>25</v>
      </c>
    </row>
    <row r="23" spans="1:16" x14ac:dyDescent="0.4">
      <c r="C23" s="2">
        <v>1.0250490000000001</v>
      </c>
      <c r="D23" s="2">
        <v>0.56192600000000004</v>
      </c>
      <c r="E23" s="2">
        <v>0.31895400000000002</v>
      </c>
      <c r="F23" s="2">
        <v>0.224047</v>
      </c>
      <c r="H23" s="12">
        <v>1.012702</v>
      </c>
      <c r="I23" s="2">
        <v>0.57237400000000005</v>
      </c>
      <c r="J23" s="2">
        <v>0.42789100000000002</v>
      </c>
      <c r="K23" s="2">
        <v>0.25774000000000002</v>
      </c>
      <c r="M23" s="2">
        <v>0.98526199999999997</v>
      </c>
      <c r="N23" s="2">
        <v>0.419595</v>
      </c>
      <c r="O23" s="2">
        <v>0.37317699999999998</v>
      </c>
      <c r="P23" s="2">
        <v>0.21478</v>
      </c>
    </row>
    <row r="24" spans="1:16" x14ac:dyDescent="0.4">
      <c r="C24" s="2">
        <v>1.0832170000000001</v>
      </c>
      <c r="D24" s="2">
        <v>0.49095499999999997</v>
      </c>
      <c r="E24" s="2">
        <v>0.344559</v>
      </c>
      <c r="F24" s="2">
        <v>0.23211799999999999</v>
      </c>
      <c r="H24" s="12">
        <v>0.91479200000000005</v>
      </c>
      <c r="I24" s="2">
        <v>0.52262500000000001</v>
      </c>
      <c r="J24" s="2">
        <v>0.44694400000000001</v>
      </c>
      <c r="K24" s="2">
        <v>0.263297</v>
      </c>
      <c r="M24" s="2">
        <v>0.93727099999999997</v>
      </c>
      <c r="N24" s="2">
        <v>0.52842800000000001</v>
      </c>
      <c r="O24" s="2">
        <v>0.43559199999999998</v>
      </c>
      <c r="P24" s="2">
        <v>0.21687799999999999</v>
      </c>
    </row>
    <row r="25" spans="1:16" x14ac:dyDescent="0.3">
      <c r="C25" s="2">
        <v>0.96715799999999996</v>
      </c>
      <c r="D25" s="2">
        <v>0.461175</v>
      </c>
      <c r="E25" s="2">
        <v>0.43529099999999998</v>
      </c>
      <c r="F25" s="2">
        <v>0.25688800000000001</v>
      </c>
      <c r="H25" s="2">
        <v>1.0351939999999999</v>
      </c>
      <c r="I25" s="2">
        <v>0.64355600000000002</v>
      </c>
      <c r="J25" s="2">
        <v>0.43239</v>
      </c>
      <c r="K25" s="2">
        <v>0.26779599999999998</v>
      </c>
      <c r="M25" s="2">
        <v>1.012535</v>
      </c>
      <c r="N25" s="2">
        <v>0.493811</v>
      </c>
      <c r="O25" s="2">
        <v>0.40595799999999999</v>
      </c>
      <c r="P25" s="2">
        <v>0.227106</v>
      </c>
    </row>
    <row r="26" spans="1:16" x14ac:dyDescent="0.4">
      <c r="C26" s="12">
        <v>0.99276399999999998</v>
      </c>
      <c r="D26" s="12">
        <v>0.60450899999999996</v>
      </c>
      <c r="E26" s="12">
        <v>0.36098000000000002</v>
      </c>
      <c r="F26" s="12">
        <v>0.22989100000000001</v>
      </c>
      <c r="H26" s="2">
        <v>1.0550409999999999</v>
      </c>
      <c r="I26" s="2">
        <v>0.59565999999999997</v>
      </c>
      <c r="J26" s="2">
        <v>0.439799</v>
      </c>
      <c r="K26" s="2">
        <v>0.24742</v>
      </c>
      <c r="M26" s="2">
        <v>1.0468900000000001</v>
      </c>
      <c r="N26" s="2">
        <v>0.51898699999999998</v>
      </c>
      <c r="O26" s="2">
        <v>0.36059000000000002</v>
      </c>
      <c r="P26" s="2">
        <v>0.24310300000000001</v>
      </c>
    </row>
    <row r="27" spans="1:16" x14ac:dyDescent="0.4">
      <c r="C27" s="12">
        <v>0.93181199999999997</v>
      </c>
      <c r="D27" s="12">
        <v>0.51656000000000002</v>
      </c>
      <c r="E27" s="12">
        <v>0.30114099999999999</v>
      </c>
      <c r="F27" s="12">
        <v>0.20901800000000001</v>
      </c>
      <c r="H27" s="2">
        <v>0.98226999999999998</v>
      </c>
      <c r="I27" s="2">
        <v>0.60994999999999999</v>
      </c>
      <c r="J27" s="2">
        <v>0.46149800000000002</v>
      </c>
      <c r="K27" s="2">
        <v>0.25033100000000003</v>
      </c>
      <c r="L27" s="12"/>
      <c r="M27" s="2">
        <v>1.018043</v>
      </c>
      <c r="N27" s="2">
        <v>0.45526100000000003</v>
      </c>
      <c r="O27" s="2">
        <v>0.45971899999999999</v>
      </c>
      <c r="P27" s="2">
        <v>0.21032200000000001</v>
      </c>
    </row>
    <row r="28" spans="1:16" s="4" customFormat="1" x14ac:dyDescent="0.3">
      <c r="B28" s="4" t="s">
        <v>16</v>
      </c>
      <c r="C28" s="4">
        <f>AVERAGE(C23:C27)</f>
        <v>1</v>
      </c>
      <c r="D28" s="4">
        <f t="shared" ref="D28:F28" si="4">AVERAGE(D23:D27)</f>
        <v>0.52702500000000008</v>
      </c>
      <c r="E28" s="4">
        <f t="shared" si="4"/>
        <v>0.35218499999999997</v>
      </c>
      <c r="F28" s="4">
        <f t="shared" si="4"/>
        <v>0.2303924</v>
      </c>
      <c r="H28" s="4">
        <f t="shared" ref="H28" si="5">AVERAGE(H23:H27)</f>
        <v>0.99999979999999999</v>
      </c>
      <c r="I28" s="4">
        <f t="shared" ref="I28" si="6">AVERAGE(I23:I27)</f>
        <v>0.58883299999999994</v>
      </c>
      <c r="J28" s="4">
        <f t="shared" ref="J28" si="7">AVERAGE(J23:J27)</f>
        <v>0.44170440000000005</v>
      </c>
      <c r="K28" s="4">
        <f t="shared" ref="K28" si="8">AVERAGE(K23:K27)</f>
        <v>0.25731680000000001</v>
      </c>
      <c r="M28" s="4">
        <f t="shared" ref="M28" si="9">AVERAGE(M23:M27)</f>
        <v>1.0000002000000001</v>
      </c>
      <c r="N28" s="4">
        <f t="shared" ref="N28" si="10">AVERAGE(N23:N27)</f>
        <v>0.48321640000000005</v>
      </c>
      <c r="O28" s="4">
        <f t="shared" ref="O28" si="11">AVERAGE(O23:O27)</f>
        <v>0.40700719999999996</v>
      </c>
      <c r="P28" s="4">
        <f t="shared" ref="P28" si="12">AVERAGE(P23:P27)</f>
        <v>0.22243779999999996</v>
      </c>
    </row>
    <row r="29" spans="1:16" s="4" customFormat="1" x14ac:dyDescent="0.3">
      <c r="B29" s="4" t="s">
        <v>17</v>
      </c>
      <c r="C29" s="4">
        <f>STDEV(C23:C27)</f>
        <v>5.7734481668237109E-2</v>
      </c>
      <c r="D29" s="4">
        <f t="shared" ref="D29:P29" si="13">STDEV(D23:D27)</f>
        <v>5.6939954517895422E-2</v>
      </c>
      <c r="E29" s="4">
        <f t="shared" si="13"/>
        <v>5.1845695178096042E-2</v>
      </c>
      <c r="F29" s="4">
        <f t="shared" si="13"/>
        <v>1.7337639640389344E-2</v>
      </c>
      <c r="H29" s="4">
        <f t="shared" si="13"/>
        <v>5.4781900032766243E-2</v>
      </c>
      <c r="I29" s="4">
        <f t="shared" si="13"/>
        <v>4.5115242136111823E-2</v>
      </c>
      <c r="J29" s="4">
        <f t="shared" si="13"/>
        <v>1.3232900524828261E-2</v>
      </c>
      <c r="K29" s="4">
        <f t="shared" si="13"/>
        <v>8.5513679432006554E-3</v>
      </c>
      <c r="M29" s="4">
        <f t="shared" si="13"/>
        <v>4.1332445665602756E-2</v>
      </c>
      <c r="N29" s="4">
        <f t="shared" si="13"/>
        <v>4.5456179654696019E-2</v>
      </c>
      <c r="O29" s="4">
        <f t="shared" si="13"/>
        <v>4.1520369575667307E-2</v>
      </c>
      <c r="P29" s="4">
        <f t="shared" si="13"/>
        <v>1.3088052460163816E-2</v>
      </c>
    </row>
  </sheetData>
  <mergeCells count="9">
    <mergeCell ref="O10:S10"/>
    <mergeCell ref="C21:F21"/>
    <mergeCell ref="H21:K21"/>
    <mergeCell ref="M21:P21"/>
    <mergeCell ref="C1:E1"/>
    <mergeCell ref="G1:I1"/>
    <mergeCell ref="K1:M1"/>
    <mergeCell ref="C10:G10"/>
    <mergeCell ref="I10:M10"/>
  </mergeCells>
  <phoneticPr fontId="10" type="noConversion"/>
  <conditionalFormatting sqref="O4">
    <cfRule type="duplicateValues" dxfId="1" priority="1"/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4F344-9F3D-4A6A-8D05-1961D0F1195A}">
  <dimension ref="A3:U83"/>
  <sheetViews>
    <sheetView workbookViewId="0">
      <selection activeCell="J12" sqref="J12"/>
    </sheetView>
  </sheetViews>
  <sheetFormatPr defaultRowHeight="13.5" x14ac:dyDescent="0.3"/>
  <cols>
    <col min="11" max="11" width="11.1328125" customWidth="1"/>
  </cols>
  <sheetData>
    <row r="3" spans="1:21" ht="13.9" x14ac:dyDescent="0.4">
      <c r="A3" s="16" t="s">
        <v>127</v>
      </c>
      <c r="B3" s="15" t="s">
        <v>104</v>
      </c>
      <c r="C3" s="23" t="s">
        <v>112</v>
      </c>
      <c r="D3" s="23"/>
      <c r="E3" s="23"/>
      <c r="F3" s="23" t="s">
        <v>37</v>
      </c>
      <c r="G3" s="23"/>
      <c r="H3" s="23"/>
      <c r="I3" s="2"/>
      <c r="J3" s="2"/>
      <c r="K3" s="16" t="s">
        <v>128</v>
      </c>
      <c r="L3" s="15"/>
      <c r="M3" s="23" t="s">
        <v>89</v>
      </c>
      <c r="N3" s="23"/>
      <c r="O3" s="23"/>
      <c r="P3" s="2"/>
      <c r="Q3" s="2"/>
      <c r="R3" s="15"/>
      <c r="S3" s="23" t="s">
        <v>96</v>
      </c>
      <c r="T3" s="23"/>
      <c r="U3" s="23"/>
    </row>
    <row r="4" spans="1:21" ht="13.9" x14ac:dyDescent="0.3">
      <c r="A4" s="2"/>
      <c r="B4" s="2"/>
      <c r="C4" s="2" t="s">
        <v>113</v>
      </c>
      <c r="D4" s="2" t="s">
        <v>114</v>
      </c>
      <c r="E4" s="2" t="s">
        <v>115</v>
      </c>
      <c r="F4" s="2" t="s">
        <v>113</v>
      </c>
      <c r="G4" s="2" t="s">
        <v>114</v>
      </c>
      <c r="H4" s="2" t="s">
        <v>115</v>
      </c>
      <c r="I4" s="2"/>
      <c r="J4" s="2"/>
      <c r="K4" s="2"/>
      <c r="M4" s="2" t="s">
        <v>113</v>
      </c>
      <c r="N4" s="2" t="s">
        <v>114</v>
      </c>
      <c r="O4" s="2" t="s">
        <v>115</v>
      </c>
      <c r="P4" s="2"/>
      <c r="Q4" s="2"/>
      <c r="S4" s="2" t="s">
        <v>113</v>
      </c>
      <c r="T4" s="2" t="s">
        <v>114</v>
      </c>
      <c r="U4" s="2" t="s">
        <v>115</v>
      </c>
    </row>
    <row r="5" spans="1:21" ht="13.9" x14ac:dyDescent="0.4">
      <c r="A5" s="2"/>
      <c r="B5" s="12" t="s">
        <v>116</v>
      </c>
      <c r="C5" s="12">
        <v>100</v>
      </c>
      <c r="D5" s="12">
        <v>100</v>
      </c>
      <c r="E5" s="12">
        <v>100</v>
      </c>
      <c r="F5" s="12">
        <v>100</v>
      </c>
      <c r="G5" s="12">
        <v>100</v>
      </c>
      <c r="H5" s="12">
        <v>100</v>
      </c>
      <c r="I5" s="2"/>
      <c r="J5" s="2"/>
      <c r="K5" s="2"/>
      <c r="L5" s="12" t="s">
        <v>122</v>
      </c>
      <c r="M5" s="12">
        <v>3.8999999999999998E-3</v>
      </c>
      <c r="N5" s="12">
        <v>1.0699999999999999E-2</v>
      </c>
      <c r="O5" s="12">
        <v>8.6E-3</v>
      </c>
      <c r="P5" s="2"/>
      <c r="Q5" s="2"/>
      <c r="R5" s="12" t="s">
        <v>122</v>
      </c>
      <c r="S5" s="12">
        <v>8.2799999999999999E-2</v>
      </c>
      <c r="T5" s="12">
        <v>7.4999999999999997E-2</v>
      </c>
      <c r="U5" s="12">
        <v>6.0499999999999998E-2</v>
      </c>
    </row>
    <row r="6" spans="1:21" ht="13.9" x14ac:dyDescent="0.4">
      <c r="A6" s="2"/>
      <c r="B6" s="12" t="s">
        <v>117</v>
      </c>
      <c r="C6" s="12">
        <v>84.211960000000005</v>
      </c>
      <c r="D6" s="12">
        <v>78.291020000000003</v>
      </c>
      <c r="E6" s="12">
        <v>97.493340000000003</v>
      </c>
      <c r="F6" s="12">
        <v>100.8028</v>
      </c>
      <c r="G6" s="12">
        <v>94.055319999999995</v>
      </c>
      <c r="H6" s="12">
        <v>93.593530000000001</v>
      </c>
      <c r="I6" s="2"/>
      <c r="J6" s="2"/>
      <c r="K6" s="2"/>
      <c r="L6" s="12" t="s">
        <v>123</v>
      </c>
      <c r="M6" s="12">
        <v>1.7000000000000001E-2</v>
      </c>
      <c r="N6" s="12">
        <v>1.3599999999999999E-2</v>
      </c>
      <c r="O6" s="12">
        <v>1.5800000000000002E-2</v>
      </c>
      <c r="P6" s="2"/>
      <c r="Q6" s="2"/>
      <c r="R6" s="12" t="s">
        <v>123</v>
      </c>
      <c r="S6" s="12">
        <v>0.2311</v>
      </c>
      <c r="T6" s="12">
        <v>0.26419999999999999</v>
      </c>
      <c r="U6" s="12">
        <v>0.21590000000000001</v>
      </c>
    </row>
    <row r="7" spans="1:21" ht="13.9" x14ac:dyDescent="0.4">
      <c r="A7" s="2"/>
      <c r="B7" s="12" t="s">
        <v>118</v>
      </c>
      <c r="C7" s="12">
        <v>69.847369999999998</v>
      </c>
      <c r="D7" s="12">
        <v>76.689099999999996</v>
      </c>
      <c r="E7" s="12">
        <v>88.032719999999998</v>
      </c>
      <c r="F7" s="12">
        <v>96.746430000000004</v>
      </c>
      <c r="G7" s="12">
        <v>79.267150000000001</v>
      </c>
      <c r="H7" s="12">
        <v>68.254040000000003</v>
      </c>
      <c r="I7" s="2"/>
      <c r="J7" s="2"/>
      <c r="K7" s="2"/>
      <c r="L7" s="12" t="s">
        <v>124</v>
      </c>
      <c r="M7" s="12">
        <v>2.5600000000000001E-2</v>
      </c>
      <c r="N7" s="12">
        <v>1.6899999999999998E-2</v>
      </c>
      <c r="O7" s="12">
        <v>1.9099999999999999E-2</v>
      </c>
      <c r="P7" s="2"/>
      <c r="Q7" s="2"/>
      <c r="R7" s="12" t="s">
        <v>124</v>
      </c>
      <c r="S7" s="12">
        <v>0.33389999999999997</v>
      </c>
      <c r="T7" s="12">
        <v>0.27310000000000001</v>
      </c>
      <c r="U7" s="12">
        <v>0.23980000000000001</v>
      </c>
    </row>
    <row r="8" spans="1:21" ht="13.9" x14ac:dyDescent="0.4">
      <c r="A8" s="2"/>
      <c r="B8" s="12" t="s">
        <v>119</v>
      </c>
      <c r="C8" s="12">
        <v>33.410780000000003</v>
      </c>
      <c r="D8" s="12">
        <v>18.99417</v>
      </c>
      <c r="E8" s="12">
        <v>23.590800000000002</v>
      </c>
      <c r="F8" s="12">
        <v>32.809539999999998</v>
      </c>
      <c r="G8" s="12">
        <v>17.53275</v>
      </c>
      <c r="H8" s="12">
        <v>30.469280000000001</v>
      </c>
      <c r="I8" s="2"/>
      <c r="J8" s="2"/>
      <c r="K8" s="2"/>
      <c r="L8" s="12" t="s">
        <v>125</v>
      </c>
      <c r="M8" s="12">
        <v>3.6200000000000003E-2</v>
      </c>
      <c r="N8" s="12">
        <v>4.2500000000000003E-2</v>
      </c>
      <c r="O8" s="12">
        <v>2.9100000000000001E-2</v>
      </c>
      <c r="P8" s="2"/>
      <c r="Q8" s="2"/>
      <c r="R8" s="12" t="s">
        <v>125</v>
      </c>
      <c r="S8" s="12">
        <v>0.33900000000000002</v>
      </c>
      <c r="T8" s="12">
        <v>0.32379999999999998</v>
      </c>
      <c r="U8" s="12">
        <v>0.2737</v>
      </c>
    </row>
    <row r="9" spans="1:21" ht="13.9" x14ac:dyDescent="0.4">
      <c r="A9" s="2"/>
      <c r="B9" s="12" t="s">
        <v>120</v>
      </c>
      <c r="C9" s="12">
        <v>15.091390000000001</v>
      </c>
      <c r="D9" s="12">
        <v>17.984079999999999</v>
      </c>
      <c r="E9" s="12">
        <v>8.8490260000000003</v>
      </c>
      <c r="F9" s="12">
        <v>16.277539999999998</v>
      </c>
      <c r="G9" s="12">
        <v>14.03599</v>
      </c>
      <c r="H9" s="12">
        <v>6.8190920000000004</v>
      </c>
      <c r="I9" s="2"/>
      <c r="J9" s="2"/>
      <c r="K9" s="2"/>
      <c r="L9" s="12" t="s">
        <v>126</v>
      </c>
      <c r="M9" s="12">
        <v>6.3100000000000003E-2</v>
      </c>
      <c r="N9" s="12">
        <v>4.2799999999999998E-2</v>
      </c>
      <c r="O9" s="12">
        <v>4.5400000000000003E-2</v>
      </c>
      <c r="P9" s="2"/>
      <c r="Q9" s="2"/>
      <c r="R9" s="12" t="s">
        <v>126</v>
      </c>
      <c r="S9" s="12">
        <v>0.37640000000000001</v>
      </c>
      <c r="T9" s="12">
        <v>0.3589</v>
      </c>
      <c r="U9" s="12">
        <v>0.2994</v>
      </c>
    </row>
    <row r="10" spans="1:21" ht="13.9" x14ac:dyDescent="0.4">
      <c r="A10" s="2"/>
      <c r="B10" s="12" t="s">
        <v>121</v>
      </c>
      <c r="C10" s="12">
        <v>8.4342100000000002</v>
      </c>
      <c r="D10" s="12">
        <v>5.1374599999999999</v>
      </c>
      <c r="E10" s="12">
        <v>6.3351009999999999</v>
      </c>
      <c r="F10" s="12">
        <v>8.1671879999999994</v>
      </c>
      <c r="G10" s="12">
        <v>7.0387110000000002</v>
      </c>
      <c r="H10" s="12">
        <v>4.4745189999999999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 ht="13.9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ht="13.9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ht="13.9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 ht="13.9" x14ac:dyDescent="0.4">
      <c r="A14" s="2"/>
      <c r="B14" s="15" t="s">
        <v>105</v>
      </c>
      <c r="C14" s="23" t="s">
        <v>112</v>
      </c>
      <c r="D14" s="23"/>
      <c r="E14" s="23"/>
      <c r="F14" s="23" t="s">
        <v>37</v>
      </c>
      <c r="G14" s="23"/>
      <c r="H14" s="23"/>
      <c r="I14" s="2"/>
      <c r="J14" s="2"/>
      <c r="K14" s="2"/>
      <c r="L14" s="15"/>
      <c r="M14" s="23" t="s">
        <v>90</v>
      </c>
      <c r="N14" s="23"/>
      <c r="O14" s="23"/>
      <c r="P14" s="2"/>
      <c r="Q14" s="2"/>
      <c r="R14" s="15"/>
      <c r="S14" s="23" t="s">
        <v>97</v>
      </c>
      <c r="T14" s="23"/>
      <c r="U14" s="23"/>
    </row>
    <row r="15" spans="1:21" ht="13.9" x14ac:dyDescent="0.3">
      <c r="A15" s="2"/>
      <c r="B15" s="2"/>
      <c r="C15" s="2" t="s">
        <v>113</v>
      </c>
      <c r="D15" s="2" t="s">
        <v>114</v>
      </c>
      <c r="E15" s="2" t="s">
        <v>115</v>
      </c>
      <c r="F15" s="2" t="s">
        <v>113</v>
      </c>
      <c r="G15" s="2" t="s">
        <v>114</v>
      </c>
      <c r="H15" s="2" t="s">
        <v>115</v>
      </c>
      <c r="I15" s="2"/>
      <c r="J15" s="2"/>
      <c r="K15" s="2"/>
      <c r="M15" s="2" t="s">
        <v>113</v>
      </c>
      <c r="N15" s="2" t="s">
        <v>114</v>
      </c>
      <c r="O15" s="2" t="s">
        <v>115</v>
      </c>
      <c r="P15" s="2"/>
      <c r="Q15" s="2"/>
      <c r="S15" s="2" t="s">
        <v>113</v>
      </c>
      <c r="T15" s="2" t="s">
        <v>114</v>
      </c>
      <c r="U15" s="2" t="s">
        <v>115</v>
      </c>
    </row>
    <row r="16" spans="1:21" ht="13.9" x14ac:dyDescent="0.4">
      <c r="A16" s="2"/>
      <c r="B16" s="12" t="s">
        <v>116</v>
      </c>
      <c r="C16" s="12">
        <v>100</v>
      </c>
      <c r="D16" s="12">
        <v>100</v>
      </c>
      <c r="E16" s="12">
        <v>100</v>
      </c>
      <c r="F16" s="12">
        <v>100</v>
      </c>
      <c r="G16" s="12">
        <v>100</v>
      </c>
      <c r="H16" s="12">
        <v>100</v>
      </c>
      <c r="I16" s="2"/>
      <c r="J16" s="2"/>
      <c r="K16" s="2"/>
      <c r="L16" s="12" t="s">
        <v>122</v>
      </c>
      <c r="M16" s="12">
        <v>5.1999999999999998E-3</v>
      </c>
      <c r="N16" s="12">
        <v>6.7000000000000002E-3</v>
      </c>
      <c r="O16" s="12">
        <v>6.7999999999999996E-3</v>
      </c>
      <c r="P16" s="2"/>
      <c r="Q16" s="2"/>
      <c r="R16" s="12" t="s">
        <v>122</v>
      </c>
      <c r="S16" s="12">
        <v>7.9899999999999999E-2</v>
      </c>
      <c r="T16" s="12">
        <v>7.8799999999999995E-2</v>
      </c>
      <c r="U16" s="12">
        <v>6.6000000000000003E-2</v>
      </c>
    </row>
    <row r="17" spans="1:21" ht="13.9" x14ac:dyDescent="0.4">
      <c r="A17" s="2"/>
      <c r="B17" s="12" t="s">
        <v>117</v>
      </c>
      <c r="C17" s="12">
        <v>95.324169999999995</v>
      </c>
      <c r="D17" s="12">
        <v>101.1482</v>
      </c>
      <c r="E17" s="12">
        <v>100.29510000000001</v>
      </c>
      <c r="F17" s="12">
        <v>97.579279999999997</v>
      </c>
      <c r="G17" s="12">
        <v>97.398319999999998</v>
      </c>
      <c r="H17" s="12">
        <v>93.866010000000003</v>
      </c>
      <c r="I17" s="2"/>
      <c r="J17" s="2"/>
      <c r="K17" s="2"/>
      <c r="L17" s="12" t="s">
        <v>123</v>
      </c>
      <c r="M17" s="12">
        <v>7.4999999999999997E-3</v>
      </c>
      <c r="N17" s="12">
        <v>9.9000000000000008E-3</v>
      </c>
      <c r="O17" s="12">
        <v>1.06E-2</v>
      </c>
      <c r="P17" s="2"/>
      <c r="Q17" s="2"/>
      <c r="R17" s="12" t="s">
        <v>123</v>
      </c>
      <c r="S17" s="12">
        <v>0.2087</v>
      </c>
      <c r="T17" s="12">
        <v>0.18440000000000001</v>
      </c>
      <c r="U17" s="12">
        <v>0.19070000000000001</v>
      </c>
    </row>
    <row r="18" spans="1:21" ht="13.9" x14ac:dyDescent="0.4">
      <c r="A18" s="2"/>
      <c r="B18" s="12" t="s">
        <v>118</v>
      </c>
      <c r="C18" s="12">
        <v>66.639409999999998</v>
      </c>
      <c r="D18" s="12">
        <v>81.002030000000005</v>
      </c>
      <c r="E18" s="12">
        <v>82.777180000000001</v>
      </c>
      <c r="F18" s="12">
        <v>95.104699999999994</v>
      </c>
      <c r="G18" s="12">
        <v>82.941040000000001</v>
      </c>
      <c r="H18" s="12">
        <v>80.377250000000004</v>
      </c>
      <c r="I18" s="2"/>
      <c r="J18" s="2"/>
      <c r="K18" s="2"/>
      <c r="L18" s="12" t="s">
        <v>124</v>
      </c>
      <c r="M18" s="12">
        <v>1.5599999999999999E-2</v>
      </c>
      <c r="N18" s="12">
        <v>1.34E-2</v>
      </c>
      <c r="O18" s="12">
        <v>1.2999999999999999E-2</v>
      </c>
      <c r="P18" s="2"/>
      <c r="Q18" s="2"/>
      <c r="R18" s="12" t="s">
        <v>124</v>
      </c>
      <c r="S18" s="12">
        <v>0.2334</v>
      </c>
      <c r="T18" s="12">
        <v>0.2137</v>
      </c>
      <c r="U18" s="12">
        <v>0.21959999999999999</v>
      </c>
    </row>
    <row r="19" spans="1:21" ht="13.9" x14ac:dyDescent="0.4">
      <c r="A19" s="2"/>
      <c r="B19" s="12" t="s">
        <v>119</v>
      </c>
      <c r="C19" s="12">
        <v>20.72486</v>
      </c>
      <c r="D19" s="12">
        <v>9.6448599999999995</v>
      </c>
      <c r="E19" s="12">
        <v>5.4439789999999997</v>
      </c>
      <c r="F19" s="12">
        <v>21.498169999999998</v>
      </c>
      <c r="G19" s="12">
        <v>11.80564</v>
      </c>
      <c r="H19" s="12">
        <v>10.201370000000001</v>
      </c>
      <c r="I19" s="2"/>
      <c r="J19" s="2"/>
      <c r="K19" s="2"/>
      <c r="L19" s="12" t="s">
        <v>125</v>
      </c>
      <c r="M19" s="12">
        <v>1.9599999999999999E-2</v>
      </c>
      <c r="N19" s="12">
        <v>1.4E-2</v>
      </c>
      <c r="O19" s="12">
        <v>1.43E-2</v>
      </c>
      <c r="P19" s="2"/>
      <c r="Q19" s="2"/>
      <c r="R19" s="12" t="s">
        <v>125</v>
      </c>
      <c r="S19" s="12">
        <v>0.27300000000000002</v>
      </c>
      <c r="T19" s="12">
        <v>0.26340000000000002</v>
      </c>
      <c r="U19" s="12">
        <v>0.23749999999999999</v>
      </c>
    </row>
    <row r="20" spans="1:21" ht="13.9" x14ac:dyDescent="0.4">
      <c r="A20" s="2"/>
      <c r="B20" s="12" t="s">
        <v>120</v>
      </c>
      <c r="C20" s="12">
        <v>16.409330000000001</v>
      </c>
      <c r="D20" s="12">
        <v>5.7380399999999998</v>
      </c>
      <c r="E20" s="12">
        <v>5.4585759999999999</v>
      </c>
      <c r="F20" s="12">
        <v>10.79763</v>
      </c>
      <c r="G20" s="12">
        <v>5.4762769999999996</v>
      </c>
      <c r="H20" s="12">
        <v>8.2577320000000007</v>
      </c>
      <c r="I20" s="2"/>
      <c r="J20" s="2"/>
      <c r="K20" s="2"/>
      <c r="L20" s="12" t="s">
        <v>126</v>
      </c>
      <c r="M20" s="12">
        <v>3.0300000000000001E-2</v>
      </c>
      <c r="N20" s="12">
        <v>3.1E-2</v>
      </c>
      <c r="O20" s="12">
        <v>3.1199999999999999E-2</v>
      </c>
      <c r="P20" s="2"/>
      <c r="Q20" s="2"/>
      <c r="R20" s="12" t="s">
        <v>126</v>
      </c>
      <c r="S20" s="12">
        <v>0.2757</v>
      </c>
      <c r="T20" s="12">
        <v>0.26779999999999998</v>
      </c>
      <c r="U20" s="12">
        <v>0.27139999999999997</v>
      </c>
    </row>
    <row r="21" spans="1:21" ht="13.9" x14ac:dyDescent="0.4">
      <c r="A21" s="2"/>
      <c r="B21" s="12" t="s">
        <v>121</v>
      </c>
      <c r="C21" s="12">
        <v>12.96238</v>
      </c>
      <c r="D21" s="12">
        <v>4.507117</v>
      </c>
      <c r="E21" s="12">
        <v>2.9578829999999998</v>
      </c>
      <c r="F21" s="12">
        <v>7.6347950000000004</v>
      </c>
      <c r="G21" s="12">
        <v>4.3208700000000002</v>
      </c>
      <c r="H21" s="12">
        <v>8.2138299999999997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 ht="13.9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1" ht="13.9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1:21" ht="13.9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1" ht="13.9" x14ac:dyDescent="0.4">
      <c r="A25" s="2"/>
      <c r="B25" s="15" t="s">
        <v>99</v>
      </c>
      <c r="C25" s="23" t="s">
        <v>112</v>
      </c>
      <c r="D25" s="23"/>
      <c r="E25" s="23"/>
      <c r="F25" s="23" t="s">
        <v>37</v>
      </c>
      <c r="G25" s="23"/>
      <c r="H25" s="23"/>
      <c r="I25" s="2"/>
      <c r="J25" s="2"/>
      <c r="K25" s="2"/>
      <c r="L25" s="15"/>
      <c r="M25" s="23" t="s">
        <v>91</v>
      </c>
      <c r="N25" s="23"/>
      <c r="O25" s="23"/>
      <c r="P25" s="2"/>
      <c r="Q25" s="2"/>
      <c r="R25" s="15"/>
      <c r="S25" s="23" t="s">
        <v>98</v>
      </c>
      <c r="T25" s="23"/>
      <c r="U25" s="23"/>
    </row>
    <row r="26" spans="1:21" ht="13.9" x14ac:dyDescent="0.3">
      <c r="A26" s="2"/>
      <c r="B26" s="2"/>
      <c r="C26" s="2" t="s">
        <v>113</v>
      </c>
      <c r="D26" s="2" t="s">
        <v>114</v>
      </c>
      <c r="E26" s="2" t="s">
        <v>115</v>
      </c>
      <c r="F26" s="2" t="s">
        <v>113</v>
      </c>
      <c r="G26" s="2" t="s">
        <v>114</v>
      </c>
      <c r="H26" s="2" t="s">
        <v>115</v>
      </c>
      <c r="I26" s="2"/>
      <c r="J26" s="2"/>
      <c r="K26" s="2"/>
      <c r="M26" s="2" t="s">
        <v>113</v>
      </c>
      <c r="N26" s="2" t="s">
        <v>114</v>
      </c>
      <c r="O26" s="2" t="s">
        <v>115</v>
      </c>
      <c r="P26" s="2"/>
      <c r="Q26" s="2"/>
      <c r="S26" s="2" t="s">
        <v>113</v>
      </c>
      <c r="T26" s="2" t="s">
        <v>114</v>
      </c>
      <c r="U26" s="2" t="s">
        <v>115</v>
      </c>
    </row>
    <row r="27" spans="1:21" ht="13.9" x14ac:dyDescent="0.4">
      <c r="A27" s="2"/>
      <c r="B27" s="12" t="s">
        <v>116</v>
      </c>
      <c r="C27" s="12">
        <v>100</v>
      </c>
      <c r="D27" s="12">
        <v>100</v>
      </c>
      <c r="E27" s="12">
        <v>100</v>
      </c>
      <c r="F27" s="12">
        <v>100</v>
      </c>
      <c r="G27" s="12">
        <v>100</v>
      </c>
      <c r="H27" s="12">
        <v>100</v>
      </c>
      <c r="I27" s="2"/>
      <c r="J27" s="2"/>
      <c r="K27" s="2"/>
      <c r="L27" s="12" t="s">
        <v>122</v>
      </c>
      <c r="M27" s="12">
        <v>5.0000000000000001E-4</v>
      </c>
      <c r="N27" s="12">
        <v>4.0000000000000001E-3</v>
      </c>
      <c r="O27" s="12">
        <v>5.4999999999999997E-3</v>
      </c>
      <c r="P27" s="2"/>
      <c r="Q27" s="2"/>
      <c r="R27" s="12" t="s">
        <v>122</v>
      </c>
      <c r="S27" s="12">
        <v>6.7799999999999999E-2</v>
      </c>
      <c r="T27" s="12">
        <v>7.6700000000000004E-2</v>
      </c>
      <c r="U27" s="12">
        <v>7.0599999999999996E-2</v>
      </c>
    </row>
    <row r="28" spans="1:21" ht="13.9" x14ac:dyDescent="0.4">
      <c r="A28" s="2"/>
      <c r="B28" s="12" t="s">
        <v>117</v>
      </c>
      <c r="C28" s="12">
        <v>94.934640000000002</v>
      </c>
      <c r="D28" s="12">
        <v>98.079589999999996</v>
      </c>
      <c r="E28" s="12">
        <v>100.1467</v>
      </c>
      <c r="F28" s="12">
        <v>93.846509999999995</v>
      </c>
      <c r="G28" s="12">
        <v>95.395229999999998</v>
      </c>
      <c r="H28" s="12">
        <v>102.6694</v>
      </c>
      <c r="I28" s="2"/>
      <c r="J28" s="2"/>
      <c r="K28" s="2"/>
      <c r="L28" s="12" t="s">
        <v>123</v>
      </c>
      <c r="M28" s="12">
        <v>7.7000000000000002E-3</v>
      </c>
      <c r="N28" s="12">
        <v>5.1000000000000004E-3</v>
      </c>
      <c r="O28" s="12">
        <v>9.5999999999999992E-3</v>
      </c>
      <c r="P28" s="2"/>
      <c r="Q28" s="2"/>
      <c r="R28" s="12" t="s">
        <v>123</v>
      </c>
      <c r="S28" s="12">
        <v>0.18210000000000001</v>
      </c>
      <c r="T28" s="12">
        <v>0.18229999999999999</v>
      </c>
      <c r="U28" s="12">
        <v>0.16489999999999999</v>
      </c>
    </row>
    <row r="29" spans="1:21" ht="13.9" x14ac:dyDescent="0.4">
      <c r="A29" s="2"/>
      <c r="B29" s="12" t="s">
        <v>118</v>
      </c>
      <c r="C29" s="12">
        <v>90.131960000000007</v>
      </c>
      <c r="D29" s="12">
        <v>87.977320000000006</v>
      </c>
      <c r="E29" s="12">
        <v>94.354429999999994</v>
      </c>
      <c r="F29" s="12">
        <v>79.13955</v>
      </c>
      <c r="G29" s="12">
        <v>84.09281</v>
      </c>
      <c r="H29" s="12">
        <v>84.836359999999999</v>
      </c>
      <c r="I29" s="2"/>
      <c r="J29" s="2"/>
      <c r="K29" s="2"/>
      <c r="L29" s="12" t="s">
        <v>124</v>
      </c>
      <c r="M29" s="12">
        <v>9.2999999999999992E-3</v>
      </c>
      <c r="N29" s="12">
        <v>5.5999999999999999E-3</v>
      </c>
      <c r="O29" s="12">
        <v>1.4E-2</v>
      </c>
      <c r="P29" s="2"/>
      <c r="Q29" s="2"/>
      <c r="R29" s="12" t="s">
        <v>124</v>
      </c>
      <c r="S29" s="12">
        <v>0.21240000000000001</v>
      </c>
      <c r="T29" s="12">
        <v>0.2029</v>
      </c>
      <c r="U29" s="12">
        <v>0.19420000000000001</v>
      </c>
    </row>
    <row r="30" spans="1:21" ht="13.9" x14ac:dyDescent="0.4">
      <c r="A30" s="2"/>
      <c r="B30" s="12" t="s">
        <v>119</v>
      </c>
      <c r="C30" s="12">
        <v>23.404949999999999</v>
      </c>
      <c r="D30" s="12">
        <v>16.17137</v>
      </c>
      <c r="E30" s="12">
        <v>8.2885080000000002</v>
      </c>
      <c r="F30" s="12">
        <v>16.280480000000001</v>
      </c>
      <c r="G30" s="12">
        <v>20.688559999999999</v>
      </c>
      <c r="H30" s="12">
        <v>10.3856</v>
      </c>
      <c r="I30" s="2"/>
      <c r="J30" s="2"/>
      <c r="K30" s="2"/>
      <c r="L30" s="12" t="s">
        <v>125</v>
      </c>
      <c r="M30" s="12">
        <v>1.3100000000000001E-2</v>
      </c>
      <c r="N30" s="12">
        <v>1.55E-2</v>
      </c>
      <c r="O30" s="12">
        <v>2.4199999999999999E-2</v>
      </c>
      <c r="P30" s="2"/>
      <c r="Q30" s="2"/>
      <c r="R30" s="12" t="s">
        <v>125</v>
      </c>
      <c r="S30" s="12">
        <v>0.24629999999999999</v>
      </c>
      <c r="T30" s="12">
        <v>0.27179999999999999</v>
      </c>
      <c r="U30" s="12">
        <v>0.2422</v>
      </c>
    </row>
    <row r="31" spans="1:21" ht="13.9" x14ac:dyDescent="0.4">
      <c r="A31" s="2"/>
      <c r="B31" s="12" t="s">
        <v>120</v>
      </c>
      <c r="C31" s="12">
        <v>18.12397</v>
      </c>
      <c r="D31" s="12">
        <v>10.77562</v>
      </c>
      <c r="E31" s="12">
        <v>6.8496980000000001</v>
      </c>
      <c r="F31" s="12">
        <v>9.4504649999999994</v>
      </c>
      <c r="G31" s="12">
        <v>8.3320609999999995</v>
      </c>
      <c r="H31" s="12">
        <v>9.1835349999999991</v>
      </c>
      <c r="I31" s="2"/>
      <c r="J31" s="2"/>
      <c r="K31" s="2"/>
      <c r="L31" s="12" t="s">
        <v>126</v>
      </c>
      <c r="M31" s="12">
        <v>3.04E-2</v>
      </c>
      <c r="N31" s="12">
        <v>2.8500000000000001E-2</v>
      </c>
      <c r="O31" s="12">
        <v>3.1E-2</v>
      </c>
      <c r="P31" s="2"/>
      <c r="Q31" s="2"/>
      <c r="R31" s="12" t="s">
        <v>126</v>
      </c>
      <c r="S31" s="12">
        <v>0.25090000000000001</v>
      </c>
      <c r="T31" s="12">
        <v>0.2838</v>
      </c>
      <c r="U31" s="12">
        <v>0.26190000000000002</v>
      </c>
    </row>
    <row r="32" spans="1:21" ht="13.9" x14ac:dyDescent="0.4">
      <c r="A32" s="2"/>
      <c r="B32" s="12" t="s">
        <v>121</v>
      </c>
      <c r="C32" s="12">
        <v>15.959379999999999</v>
      </c>
      <c r="D32" s="12">
        <v>8.314273</v>
      </c>
      <c r="E32" s="12">
        <v>2.8943430000000001</v>
      </c>
      <c r="F32" s="12">
        <v>6.8709910000000001</v>
      </c>
      <c r="G32" s="12">
        <v>5.0948270000000004</v>
      </c>
      <c r="H32" s="12">
        <v>5.711697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spans="1:21" ht="13.9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spans="1:21" ht="13.9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spans="1:21" ht="13.9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spans="1:21" ht="13.9" x14ac:dyDescent="0.4">
      <c r="A36" s="2"/>
      <c r="B36" s="15" t="s">
        <v>100</v>
      </c>
      <c r="C36" s="23" t="s">
        <v>112</v>
      </c>
      <c r="D36" s="23"/>
      <c r="E36" s="23"/>
      <c r="F36" s="23" t="s">
        <v>37</v>
      </c>
      <c r="G36" s="23"/>
      <c r="H36" s="23"/>
      <c r="I36" s="2"/>
      <c r="J36" s="2"/>
      <c r="K36" s="2"/>
      <c r="L36" s="15"/>
      <c r="M36" s="23" t="s">
        <v>92</v>
      </c>
      <c r="N36" s="23"/>
      <c r="O36" s="23"/>
      <c r="P36" s="2"/>
      <c r="Q36" s="2"/>
      <c r="R36" s="2"/>
      <c r="S36" s="2"/>
      <c r="T36" s="2"/>
      <c r="U36" s="2"/>
    </row>
    <row r="37" spans="1:21" ht="13.9" x14ac:dyDescent="0.3">
      <c r="A37" s="2"/>
      <c r="B37" s="2"/>
      <c r="C37" s="2" t="s">
        <v>113</v>
      </c>
      <c r="D37" s="2" t="s">
        <v>114</v>
      </c>
      <c r="E37" s="2" t="s">
        <v>115</v>
      </c>
      <c r="F37" s="2" t="s">
        <v>113</v>
      </c>
      <c r="G37" s="2" t="s">
        <v>114</v>
      </c>
      <c r="H37" s="2" t="s">
        <v>115</v>
      </c>
      <c r="I37" s="2"/>
      <c r="J37" s="2"/>
      <c r="K37" s="2"/>
      <c r="M37" s="2" t="s">
        <v>113</v>
      </c>
      <c r="N37" s="2" t="s">
        <v>114</v>
      </c>
      <c r="O37" s="2" t="s">
        <v>115</v>
      </c>
      <c r="P37" s="2"/>
      <c r="Q37" s="2"/>
      <c r="R37" s="2"/>
      <c r="S37" s="2"/>
      <c r="T37" s="2"/>
      <c r="U37" s="2"/>
    </row>
    <row r="38" spans="1:21" ht="13.9" x14ac:dyDescent="0.4">
      <c r="A38" s="2"/>
      <c r="B38" s="12" t="s">
        <v>116</v>
      </c>
      <c r="C38" s="12">
        <v>100</v>
      </c>
      <c r="D38" s="12">
        <v>100</v>
      </c>
      <c r="E38" s="12">
        <v>100</v>
      </c>
      <c r="F38" s="12">
        <v>100</v>
      </c>
      <c r="G38" s="12">
        <v>100</v>
      </c>
      <c r="H38" s="12">
        <v>100</v>
      </c>
      <c r="I38" s="2"/>
      <c r="J38" s="2"/>
      <c r="K38" s="2"/>
      <c r="L38" s="12" t="s">
        <v>122</v>
      </c>
      <c r="M38" s="12">
        <v>1.15E-2</v>
      </c>
      <c r="N38" s="12">
        <v>2.3E-3</v>
      </c>
      <c r="O38" s="12">
        <v>7.9000000000000008E-3</v>
      </c>
      <c r="P38" s="2"/>
      <c r="Q38" s="2"/>
      <c r="R38" s="2"/>
      <c r="S38" s="2"/>
      <c r="T38" s="2"/>
      <c r="U38" s="2"/>
    </row>
    <row r="39" spans="1:21" ht="13.9" x14ac:dyDescent="0.4">
      <c r="A39" s="2"/>
      <c r="B39" s="12" t="s">
        <v>117</v>
      </c>
      <c r="C39" s="12">
        <v>100.2197</v>
      </c>
      <c r="D39" s="12">
        <v>95.3339</v>
      </c>
      <c r="E39" s="12">
        <v>95.695920000000001</v>
      </c>
      <c r="F39" s="12">
        <v>99.346130000000002</v>
      </c>
      <c r="G39" s="12">
        <v>98.863320000000002</v>
      </c>
      <c r="H39" s="12">
        <v>97.981610000000003</v>
      </c>
      <c r="I39" s="2"/>
      <c r="J39" s="2"/>
      <c r="K39" s="2"/>
      <c r="L39" s="12" t="s">
        <v>123</v>
      </c>
      <c r="M39" s="12">
        <v>1.9300000000000001E-2</v>
      </c>
      <c r="N39" s="12">
        <v>1.5100000000000001E-2</v>
      </c>
      <c r="O39" s="12">
        <v>1.7000000000000001E-2</v>
      </c>
      <c r="P39" s="2"/>
      <c r="Q39" s="2"/>
      <c r="R39" s="2"/>
      <c r="S39" s="2"/>
      <c r="T39" s="2"/>
      <c r="U39" s="2"/>
    </row>
    <row r="40" spans="1:21" ht="13.9" x14ac:dyDescent="0.4">
      <c r="A40" s="2"/>
      <c r="B40" s="12" t="s">
        <v>118</v>
      </c>
      <c r="C40" s="12">
        <v>97.777450000000002</v>
      </c>
      <c r="D40" s="12">
        <v>90.959270000000004</v>
      </c>
      <c r="E40" s="12">
        <v>88.761719999999997</v>
      </c>
      <c r="F40" s="12">
        <v>95.328029999999998</v>
      </c>
      <c r="G40" s="12">
        <v>91.600719999999995</v>
      </c>
      <c r="H40" s="12">
        <v>91.033839999999998</v>
      </c>
      <c r="I40" s="2"/>
      <c r="J40" s="2"/>
      <c r="K40" s="2"/>
      <c r="L40" s="12" t="s">
        <v>124</v>
      </c>
      <c r="M40" s="12">
        <v>2.47E-2</v>
      </c>
      <c r="N40" s="12">
        <v>2.2700000000000001E-2</v>
      </c>
      <c r="O40" s="12">
        <v>1.24E-2</v>
      </c>
      <c r="P40" s="2"/>
      <c r="Q40" s="2"/>
      <c r="R40" s="2"/>
      <c r="S40" s="2"/>
      <c r="T40" s="2"/>
      <c r="U40" s="2"/>
    </row>
    <row r="41" spans="1:21" ht="13.9" x14ac:dyDescent="0.4">
      <c r="A41" s="2"/>
      <c r="B41" s="12" t="s">
        <v>119</v>
      </c>
      <c r="C41" s="12">
        <v>9.8683379999999996</v>
      </c>
      <c r="D41" s="12">
        <v>24.938669999999998</v>
      </c>
      <c r="E41" s="12">
        <v>11.37604</v>
      </c>
      <c r="F41" s="12">
        <v>28.51765</v>
      </c>
      <c r="G41" s="12">
        <v>19.472149999999999</v>
      </c>
      <c r="H41" s="12">
        <v>11.012359999999999</v>
      </c>
      <c r="I41" s="2"/>
      <c r="J41" s="2"/>
      <c r="K41" s="2"/>
      <c r="L41" s="12" t="s">
        <v>125</v>
      </c>
      <c r="M41" s="12">
        <v>2.6700000000000002E-2</v>
      </c>
      <c r="N41" s="12">
        <v>4.3299999999999998E-2</v>
      </c>
      <c r="O41" s="12">
        <v>2.7300000000000001E-2</v>
      </c>
      <c r="P41" s="2"/>
      <c r="Q41" s="2"/>
      <c r="R41" s="2"/>
      <c r="S41" s="2"/>
      <c r="T41" s="2"/>
      <c r="U41" s="2"/>
    </row>
    <row r="42" spans="1:21" ht="13.9" x14ac:dyDescent="0.4">
      <c r="A42" s="2"/>
      <c r="B42" s="12" t="s">
        <v>120</v>
      </c>
      <c r="C42" s="12">
        <v>7.7474509999999999</v>
      </c>
      <c r="D42" s="12">
        <v>14.831060000000001</v>
      </c>
      <c r="E42" s="12">
        <v>7.5326060000000004</v>
      </c>
      <c r="F42" s="12">
        <v>15.712770000000001</v>
      </c>
      <c r="G42" s="12">
        <v>10.57644</v>
      </c>
      <c r="H42" s="12">
        <v>9.568759</v>
      </c>
      <c r="I42" s="2"/>
      <c r="J42" s="2"/>
      <c r="K42" s="2"/>
      <c r="L42" s="12" t="s">
        <v>126</v>
      </c>
      <c r="M42" s="12">
        <v>7.3599999999999999E-2</v>
      </c>
      <c r="N42" s="12">
        <v>6.6000000000000003E-2</v>
      </c>
      <c r="O42" s="12">
        <v>5.9200000000000003E-2</v>
      </c>
      <c r="P42" s="2"/>
      <c r="Q42" s="2"/>
      <c r="R42" s="2"/>
      <c r="S42" s="2"/>
      <c r="T42" s="2"/>
      <c r="U42" s="2"/>
    </row>
    <row r="43" spans="1:21" ht="13.9" x14ac:dyDescent="0.4">
      <c r="A43" s="2"/>
      <c r="B43" s="12" t="s">
        <v>121</v>
      </c>
      <c r="C43" s="12">
        <v>7.2923470000000004</v>
      </c>
      <c r="D43" s="12">
        <v>5.5378819999999997</v>
      </c>
      <c r="E43" s="12">
        <v>5.2494399999999999</v>
      </c>
      <c r="F43" s="12">
        <v>7.0022729999999997</v>
      </c>
      <c r="G43" s="12">
        <v>5.7656159999999996</v>
      </c>
      <c r="H43" s="12">
        <v>4.1711239999999998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spans="1:21" ht="13.9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spans="1:21" ht="13.9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spans="1:21" ht="13.9" x14ac:dyDescent="0.4">
      <c r="A46" s="2"/>
      <c r="B46" s="15" t="s">
        <v>101</v>
      </c>
      <c r="C46" s="23" t="s">
        <v>112</v>
      </c>
      <c r="D46" s="23"/>
      <c r="E46" s="23"/>
      <c r="F46" s="23" t="s">
        <v>37</v>
      </c>
      <c r="G46" s="23"/>
      <c r="H46" s="23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spans="1:21" ht="13.9" x14ac:dyDescent="0.4">
      <c r="A47" s="2"/>
      <c r="B47" s="2"/>
      <c r="C47" s="2" t="s">
        <v>113</v>
      </c>
      <c r="D47" s="2" t="s">
        <v>114</v>
      </c>
      <c r="E47" s="2" t="s">
        <v>115</v>
      </c>
      <c r="F47" s="2" t="s">
        <v>113</v>
      </c>
      <c r="G47" s="2" t="s">
        <v>114</v>
      </c>
      <c r="H47" s="2" t="s">
        <v>115</v>
      </c>
      <c r="I47" s="2"/>
      <c r="J47" s="2"/>
      <c r="K47" s="2"/>
      <c r="L47" s="15"/>
      <c r="M47" s="23" t="s">
        <v>93</v>
      </c>
      <c r="N47" s="23"/>
      <c r="O47" s="23"/>
      <c r="P47" s="2"/>
      <c r="Q47" s="2"/>
      <c r="R47" s="2"/>
      <c r="S47" s="2"/>
      <c r="T47" s="2"/>
      <c r="U47" s="2"/>
    </row>
    <row r="48" spans="1:21" ht="13.9" x14ac:dyDescent="0.4">
      <c r="A48" s="2"/>
      <c r="B48" s="12" t="s">
        <v>116</v>
      </c>
      <c r="C48" s="12">
        <v>100</v>
      </c>
      <c r="D48" s="12">
        <v>100</v>
      </c>
      <c r="E48" s="12">
        <v>100</v>
      </c>
      <c r="F48" s="12">
        <v>100</v>
      </c>
      <c r="G48" s="12">
        <v>100</v>
      </c>
      <c r="H48" s="12">
        <v>100</v>
      </c>
      <c r="I48" s="2"/>
      <c r="J48" s="2"/>
      <c r="K48" s="2"/>
      <c r="M48" s="2" t="s">
        <v>113</v>
      </c>
      <c r="N48" s="2" t="s">
        <v>114</v>
      </c>
      <c r="O48" s="2" t="s">
        <v>115</v>
      </c>
      <c r="P48" s="2"/>
      <c r="Q48" s="2"/>
      <c r="R48" s="2"/>
      <c r="S48" s="2"/>
      <c r="T48" s="2"/>
      <c r="U48" s="2"/>
    </row>
    <row r="49" spans="1:21" ht="13.9" x14ac:dyDescent="0.4">
      <c r="A49" s="2"/>
      <c r="B49" s="12" t="s">
        <v>117</v>
      </c>
      <c r="C49" s="12">
        <v>93.418469999999999</v>
      </c>
      <c r="D49" s="12">
        <v>93.671109999999999</v>
      </c>
      <c r="E49" s="12">
        <v>99.751900000000006</v>
      </c>
      <c r="F49" s="12">
        <v>94.808570000000003</v>
      </c>
      <c r="G49" s="12">
        <v>96.199380000000005</v>
      </c>
      <c r="H49" s="12">
        <v>100.0702</v>
      </c>
      <c r="I49" s="2"/>
      <c r="J49" s="2"/>
      <c r="K49" s="2"/>
      <c r="L49" s="12" t="s">
        <v>122</v>
      </c>
      <c r="M49" s="12">
        <v>1.2999999999999999E-3</v>
      </c>
      <c r="N49" s="12">
        <v>1.8E-3</v>
      </c>
      <c r="O49" s="12">
        <v>2.8E-3</v>
      </c>
      <c r="P49" s="2"/>
      <c r="Q49" s="2"/>
      <c r="R49" s="2"/>
      <c r="S49" s="2"/>
      <c r="T49" s="2"/>
      <c r="U49" s="2"/>
    </row>
    <row r="50" spans="1:21" ht="13.9" x14ac:dyDescent="0.4">
      <c r="A50" s="2"/>
      <c r="B50" s="12" t="s">
        <v>118</v>
      </c>
      <c r="C50" s="12">
        <v>87.738100000000003</v>
      </c>
      <c r="D50" s="12">
        <v>82.483500000000006</v>
      </c>
      <c r="E50" s="12">
        <v>94.712710000000001</v>
      </c>
      <c r="F50" s="12">
        <v>88.911159999999995</v>
      </c>
      <c r="G50" s="12">
        <v>84.628060000000005</v>
      </c>
      <c r="H50" s="12">
        <v>85.585570000000004</v>
      </c>
      <c r="I50" s="2"/>
      <c r="J50" s="2"/>
      <c r="K50" s="2"/>
      <c r="L50" s="12" t="s">
        <v>123</v>
      </c>
      <c r="M50" s="12">
        <v>1.2500000000000001E-2</v>
      </c>
      <c r="N50" s="12">
        <v>7.3000000000000001E-3</v>
      </c>
      <c r="O50" s="12">
        <v>1.03E-2</v>
      </c>
      <c r="P50" s="2"/>
      <c r="Q50" s="2"/>
      <c r="R50" s="2"/>
      <c r="S50" s="2"/>
      <c r="T50" s="2"/>
      <c r="U50" s="2"/>
    </row>
    <row r="51" spans="1:21" ht="13.9" x14ac:dyDescent="0.4">
      <c r="A51" s="2"/>
      <c r="B51" s="12" t="s">
        <v>119</v>
      </c>
      <c r="C51" s="12">
        <v>17.185919999999999</v>
      </c>
      <c r="D51" s="12">
        <v>23.820799999999998</v>
      </c>
      <c r="E51" s="12">
        <v>11.516260000000001</v>
      </c>
      <c r="F51" s="12">
        <v>21.921250000000001</v>
      </c>
      <c r="G51" s="12">
        <v>23.850339999999999</v>
      </c>
      <c r="H51" s="12">
        <v>19.46302</v>
      </c>
      <c r="I51" s="2"/>
      <c r="J51" s="2"/>
      <c r="K51" s="2"/>
      <c r="L51" s="12" t="s">
        <v>124</v>
      </c>
      <c r="M51" s="12">
        <v>1.29E-2</v>
      </c>
      <c r="N51" s="12">
        <v>1.37E-2</v>
      </c>
      <c r="O51" s="12">
        <v>1.06E-2</v>
      </c>
      <c r="P51" s="2"/>
      <c r="Q51" s="2"/>
      <c r="R51" s="2"/>
      <c r="S51" s="2"/>
      <c r="T51" s="2"/>
      <c r="U51" s="2"/>
    </row>
    <row r="52" spans="1:21" ht="13.9" x14ac:dyDescent="0.4">
      <c r="A52" s="2"/>
      <c r="B52" s="12" t="s">
        <v>120</v>
      </c>
      <c r="C52" s="12">
        <v>6.6302979999999998</v>
      </c>
      <c r="D52" s="12">
        <v>11.154120000000001</v>
      </c>
      <c r="E52" s="12">
        <v>6.7993329999999998</v>
      </c>
      <c r="F52" s="12">
        <v>8.6378039999999991</v>
      </c>
      <c r="G52" s="12">
        <v>13.17127</v>
      </c>
      <c r="H52" s="12">
        <v>8.9934829999999994</v>
      </c>
      <c r="I52" s="2"/>
      <c r="J52" s="2"/>
      <c r="K52" s="2"/>
      <c r="L52" s="12" t="s">
        <v>125</v>
      </c>
      <c r="M52" s="12">
        <v>1.61E-2</v>
      </c>
      <c r="N52" s="12">
        <v>2.1100000000000001E-2</v>
      </c>
      <c r="O52" s="12">
        <v>1.47E-2</v>
      </c>
      <c r="P52" s="2"/>
      <c r="Q52" s="2"/>
      <c r="R52" s="2"/>
      <c r="S52" s="2"/>
      <c r="T52" s="2"/>
      <c r="U52" s="2"/>
    </row>
    <row r="53" spans="1:21" ht="13.9" x14ac:dyDescent="0.4">
      <c r="A53" s="2"/>
      <c r="B53" s="12" t="s">
        <v>121</v>
      </c>
      <c r="C53" s="12">
        <v>3.9997039999999999</v>
      </c>
      <c r="D53" s="12">
        <v>6.5061609999999996</v>
      </c>
      <c r="E53" s="12">
        <v>2.130271</v>
      </c>
      <c r="F53" s="12">
        <v>4.6854329999999997</v>
      </c>
      <c r="G53" s="12">
        <v>7.377491</v>
      </c>
      <c r="H53" s="12">
        <v>7.6811629999999997</v>
      </c>
      <c r="I53" s="2"/>
      <c r="J53" s="2"/>
      <c r="K53" s="2"/>
      <c r="L53" s="12" t="s">
        <v>126</v>
      </c>
      <c r="M53" s="12">
        <v>2.7699999999999999E-2</v>
      </c>
      <c r="N53" s="12">
        <v>2.3400000000000001E-2</v>
      </c>
      <c r="O53" s="12">
        <v>2.1299999999999999E-2</v>
      </c>
      <c r="P53" s="2"/>
      <c r="Q53" s="2"/>
      <c r="R53" s="2"/>
      <c r="S53" s="2"/>
      <c r="T53" s="2"/>
      <c r="U53" s="2"/>
    </row>
    <row r="54" spans="1:21" ht="13.9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 spans="1:21" ht="13.9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spans="1:21" ht="13.9" x14ac:dyDescent="0.4">
      <c r="A56" s="2"/>
      <c r="B56" s="15" t="s">
        <v>102</v>
      </c>
      <c r="C56" s="23" t="s">
        <v>112</v>
      </c>
      <c r="D56" s="23"/>
      <c r="E56" s="23"/>
      <c r="F56" s="23" t="s">
        <v>37</v>
      </c>
      <c r="G56" s="23"/>
      <c r="H56" s="23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 spans="1:21" ht="13.9" x14ac:dyDescent="0.4">
      <c r="A57" s="2"/>
      <c r="B57" s="2"/>
      <c r="C57" s="2" t="s">
        <v>113</v>
      </c>
      <c r="D57" s="2" t="s">
        <v>114</v>
      </c>
      <c r="E57" s="2" t="s">
        <v>115</v>
      </c>
      <c r="F57" s="2" t="s">
        <v>113</v>
      </c>
      <c r="G57" s="2" t="s">
        <v>114</v>
      </c>
      <c r="H57" s="2" t="s">
        <v>115</v>
      </c>
      <c r="I57" s="2"/>
      <c r="J57" s="2"/>
      <c r="K57" s="2"/>
      <c r="L57" s="15"/>
      <c r="M57" s="23" t="s">
        <v>94</v>
      </c>
      <c r="N57" s="23"/>
      <c r="O57" s="23"/>
      <c r="P57" s="2"/>
      <c r="Q57" s="2"/>
      <c r="R57" s="2"/>
      <c r="S57" s="2"/>
      <c r="T57" s="2"/>
      <c r="U57" s="2"/>
    </row>
    <row r="58" spans="1:21" ht="13.9" x14ac:dyDescent="0.4">
      <c r="A58" s="2"/>
      <c r="B58" s="12" t="s">
        <v>116</v>
      </c>
      <c r="C58" s="12">
        <v>100</v>
      </c>
      <c r="D58" s="12">
        <v>100</v>
      </c>
      <c r="E58" s="12">
        <v>100</v>
      </c>
      <c r="F58" s="12">
        <v>100</v>
      </c>
      <c r="G58" s="12">
        <v>100</v>
      </c>
      <c r="H58" s="12">
        <v>100</v>
      </c>
      <c r="I58" s="2"/>
      <c r="J58" s="2"/>
      <c r="K58" s="2"/>
      <c r="M58" s="2" t="s">
        <v>113</v>
      </c>
      <c r="N58" s="2" t="s">
        <v>114</v>
      </c>
      <c r="O58" s="2" t="s">
        <v>115</v>
      </c>
      <c r="P58" s="2"/>
      <c r="Q58" s="2"/>
      <c r="R58" s="2"/>
      <c r="S58" s="2"/>
      <c r="T58" s="2"/>
      <c r="U58" s="2"/>
    </row>
    <row r="59" spans="1:21" ht="13.9" x14ac:dyDescent="0.4">
      <c r="A59" s="2"/>
      <c r="B59" s="12" t="s">
        <v>117</v>
      </c>
      <c r="C59" s="12">
        <v>96.228830000000002</v>
      </c>
      <c r="D59" s="12">
        <v>89.758719999999997</v>
      </c>
      <c r="E59" s="12">
        <v>86.34469</v>
      </c>
      <c r="F59" s="12">
        <v>92.106359999999995</v>
      </c>
      <c r="G59" s="12">
        <v>87.614310000000003</v>
      </c>
      <c r="H59" s="12">
        <v>89.765209999999996</v>
      </c>
      <c r="I59" s="2"/>
      <c r="J59" s="2"/>
      <c r="K59" s="2"/>
      <c r="L59" s="12" t="s">
        <v>122</v>
      </c>
      <c r="M59" s="12">
        <v>4.4000000000000003E-3</v>
      </c>
      <c r="N59" s="12">
        <v>3.5999999999999999E-3</v>
      </c>
      <c r="O59" s="12">
        <v>4.0000000000000001E-3</v>
      </c>
      <c r="P59" s="2"/>
      <c r="Q59" s="2"/>
      <c r="R59" s="2"/>
      <c r="S59" s="2"/>
      <c r="T59" s="2"/>
      <c r="U59" s="2"/>
    </row>
    <row r="60" spans="1:21" ht="13.9" x14ac:dyDescent="0.4">
      <c r="A60" s="2"/>
      <c r="B60" s="12" t="s">
        <v>118</v>
      </c>
      <c r="C60" s="12">
        <v>55.331429999999997</v>
      </c>
      <c r="D60" s="12">
        <v>76.985860000000002</v>
      </c>
      <c r="E60" s="12">
        <v>80.052289999999999</v>
      </c>
      <c r="F60" s="12">
        <v>83.292410000000004</v>
      </c>
      <c r="G60" s="12">
        <v>88.11148</v>
      </c>
      <c r="H60" s="12">
        <v>66.095920000000007</v>
      </c>
      <c r="I60" s="2"/>
      <c r="J60" s="2"/>
      <c r="K60" s="2"/>
      <c r="L60" s="12" t="s">
        <v>123</v>
      </c>
      <c r="M60" s="12">
        <v>1.44E-2</v>
      </c>
      <c r="N60" s="12">
        <v>1.15E-2</v>
      </c>
      <c r="O60" s="12">
        <v>1.3899999999999999E-2</v>
      </c>
      <c r="P60" s="2"/>
      <c r="Q60" s="2"/>
      <c r="R60" s="2"/>
      <c r="S60" s="2"/>
      <c r="T60" s="2"/>
      <c r="U60" s="2"/>
    </row>
    <row r="61" spans="1:21" ht="13.9" x14ac:dyDescent="0.4">
      <c r="A61" s="2"/>
      <c r="B61" s="12" t="s">
        <v>119</v>
      </c>
      <c r="C61" s="12">
        <v>8.8945439999999998</v>
      </c>
      <c r="D61" s="12">
        <v>29.292909999999999</v>
      </c>
      <c r="E61" s="12">
        <v>11.98527</v>
      </c>
      <c r="F61" s="12">
        <v>19.63026</v>
      </c>
      <c r="G61" s="12">
        <v>13.08686</v>
      </c>
      <c r="H61" s="12">
        <v>28.598400000000002</v>
      </c>
      <c r="I61" s="2"/>
      <c r="J61" s="2"/>
      <c r="K61" s="2"/>
      <c r="L61" s="12" t="s">
        <v>124</v>
      </c>
      <c r="M61" s="12">
        <v>1.77E-2</v>
      </c>
      <c r="N61" s="12">
        <v>1.5599999999999999E-2</v>
      </c>
      <c r="O61" s="12">
        <v>1.52E-2</v>
      </c>
      <c r="P61" s="2"/>
      <c r="Q61" s="2"/>
      <c r="R61" s="2"/>
      <c r="S61" s="2"/>
      <c r="T61" s="2"/>
      <c r="U61" s="2"/>
    </row>
    <row r="62" spans="1:21" ht="13.9" x14ac:dyDescent="0.4">
      <c r="A62" s="2"/>
      <c r="B62" s="12" t="s">
        <v>120</v>
      </c>
      <c r="C62" s="12">
        <v>6.29779</v>
      </c>
      <c r="D62" s="12">
        <v>15.421189999999999</v>
      </c>
      <c r="E62" s="12">
        <v>2.7889499999999998</v>
      </c>
      <c r="F62" s="12">
        <v>9.623348</v>
      </c>
      <c r="G62" s="12">
        <v>12.07822</v>
      </c>
      <c r="H62" s="12">
        <v>15.306900000000001</v>
      </c>
      <c r="I62" s="2"/>
      <c r="J62" s="2"/>
      <c r="K62" s="2"/>
      <c r="L62" s="12" t="s">
        <v>125</v>
      </c>
      <c r="M62" s="12">
        <v>1.9900000000000001E-2</v>
      </c>
      <c r="N62" s="12">
        <v>2.4899999999999999E-2</v>
      </c>
      <c r="O62" s="12">
        <v>2.06E-2</v>
      </c>
      <c r="P62" s="2"/>
      <c r="Q62" s="2"/>
      <c r="R62" s="2"/>
      <c r="S62" s="2"/>
      <c r="T62" s="2"/>
      <c r="U62" s="2"/>
    </row>
    <row r="63" spans="1:21" ht="13.9" x14ac:dyDescent="0.4">
      <c r="A63" s="2"/>
      <c r="B63" s="12" t="s">
        <v>121</v>
      </c>
      <c r="C63" s="12">
        <v>2.451095</v>
      </c>
      <c r="D63" s="12">
        <v>8.4470510000000001</v>
      </c>
      <c r="E63" s="12">
        <v>3.093038</v>
      </c>
      <c r="F63" s="12">
        <v>4.963635</v>
      </c>
      <c r="G63" s="12">
        <v>7.261501</v>
      </c>
      <c r="H63" s="12">
        <v>4.9782039999999999</v>
      </c>
      <c r="I63" s="2"/>
      <c r="J63" s="2"/>
      <c r="K63" s="2"/>
      <c r="L63" s="12" t="s">
        <v>126</v>
      </c>
      <c r="M63" s="12">
        <v>3.4000000000000002E-2</v>
      </c>
      <c r="N63" s="12">
        <v>2.92E-2</v>
      </c>
      <c r="O63" s="12">
        <v>3.8600000000000002E-2</v>
      </c>
      <c r="P63" s="2"/>
      <c r="Q63" s="2"/>
      <c r="R63" s="2"/>
      <c r="S63" s="2"/>
      <c r="T63" s="2"/>
      <c r="U63" s="2"/>
    </row>
    <row r="64" spans="1:21" ht="13.9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 spans="1:21" ht="13.9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 spans="1:21" ht="13.9" x14ac:dyDescent="0.4">
      <c r="A66" s="2"/>
      <c r="B66" s="15" t="s">
        <v>103</v>
      </c>
      <c r="C66" s="23" t="s">
        <v>112</v>
      </c>
      <c r="D66" s="23"/>
      <c r="E66" s="23"/>
      <c r="F66" s="23" t="s">
        <v>37</v>
      </c>
      <c r="G66" s="23"/>
      <c r="H66" s="23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 spans="1:21" ht="13.9" x14ac:dyDescent="0.4">
      <c r="A67" s="2"/>
      <c r="B67" s="2"/>
      <c r="C67" s="2" t="s">
        <v>113</v>
      </c>
      <c r="D67" s="2" t="s">
        <v>114</v>
      </c>
      <c r="E67" s="2" t="s">
        <v>115</v>
      </c>
      <c r="F67" s="2" t="s">
        <v>113</v>
      </c>
      <c r="G67" s="2" t="s">
        <v>114</v>
      </c>
      <c r="H67" s="2" t="s">
        <v>115</v>
      </c>
      <c r="I67" s="2"/>
      <c r="J67" s="2"/>
      <c r="K67" s="2"/>
      <c r="L67" s="15"/>
      <c r="M67" s="23" t="s">
        <v>95</v>
      </c>
      <c r="N67" s="23"/>
      <c r="O67" s="23"/>
      <c r="P67" s="2"/>
      <c r="Q67" s="2"/>
      <c r="R67" s="2"/>
      <c r="S67" s="2"/>
      <c r="T67" s="2"/>
      <c r="U67" s="2"/>
    </row>
    <row r="68" spans="1:21" ht="13.9" x14ac:dyDescent="0.4">
      <c r="A68" s="2"/>
      <c r="B68" s="12" t="s">
        <v>116</v>
      </c>
      <c r="C68" s="12">
        <v>100</v>
      </c>
      <c r="D68" s="12">
        <v>100</v>
      </c>
      <c r="E68" s="12">
        <v>100</v>
      </c>
      <c r="F68" s="12">
        <v>100</v>
      </c>
      <c r="G68" s="12">
        <v>100</v>
      </c>
      <c r="H68" s="12">
        <v>100</v>
      </c>
      <c r="I68" s="2"/>
      <c r="J68" s="2"/>
      <c r="K68" s="2"/>
      <c r="M68" s="2" t="s">
        <v>113</v>
      </c>
      <c r="N68" s="2" t="s">
        <v>114</v>
      </c>
      <c r="O68" s="2" t="s">
        <v>115</v>
      </c>
      <c r="P68" s="2"/>
      <c r="Q68" s="2"/>
      <c r="R68" s="2"/>
      <c r="S68" s="2"/>
      <c r="T68" s="2"/>
      <c r="U68" s="2"/>
    </row>
    <row r="69" spans="1:21" ht="13.9" x14ac:dyDescent="0.4">
      <c r="A69" s="2"/>
      <c r="B69" s="12" t="s">
        <v>117</v>
      </c>
      <c r="C69" s="12">
        <v>84.951970000000003</v>
      </c>
      <c r="D69" s="12">
        <v>85.387870000000007</v>
      </c>
      <c r="E69" s="12">
        <v>97.682159999999996</v>
      </c>
      <c r="F69" s="12">
        <v>96.000879999999995</v>
      </c>
      <c r="G69" s="12">
        <v>102.4395</v>
      </c>
      <c r="H69" s="12">
        <v>95.136539999999997</v>
      </c>
      <c r="I69" s="2"/>
      <c r="J69" s="2"/>
      <c r="K69" s="2"/>
      <c r="L69" s="12" t="s">
        <v>122</v>
      </c>
      <c r="M69" s="12">
        <v>7.0000000000000001E-3</v>
      </c>
      <c r="N69" s="12">
        <v>1.41E-2</v>
      </c>
      <c r="O69" s="12">
        <v>1.1900000000000001E-2</v>
      </c>
      <c r="P69" s="2"/>
      <c r="Q69" s="2"/>
      <c r="R69" s="2"/>
      <c r="S69" s="2"/>
      <c r="T69" s="2"/>
      <c r="U69" s="2"/>
    </row>
    <row r="70" spans="1:21" ht="13.9" x14ac:dyDescent="0.4">
      <c r="A70" s="2"/>
      <c r="B70" s="12" t="s">
        <v>118</v>
      </c>
      <c r="C70" s="12">
        <v>83.060329999999993</v>
      </c>
      <c r="D70" s="12">
        <v>81.293610000000001</v>
      </c>
      <c r="E70" s="12">
        <v>91.780559999999994</v>
      </c>
      <c r="F70" s="12">
        <v>83.40231</v>
      </c>
      <c r="G70" s="12">
        <v>82.645769999999999</v>
      </c>
      <c r="H70" s="12">
        <v>95.038709999999995</v>
      </c>
      <c r="I70" s="2"/>
      <c r="J70" s="2"/>
      <c r="K70" s="2"/>
      <c r="L70" s="12" t="s">
        <v>123</v>
      </c>
      <c r="M70" s="12">
        <v>1.2E-2</v>
      </c>
      <c r="N70" s="12">
        <v>1.5299999999999999E-2</v>
      </c>
      <c r="O70" s="12">
        <v>1.44E-2</v>
      </c>
      <c r="P70" s="2"/>
      <c r="Q70" s="2"/>
      <c r="R70" s="2"/>
      <c r="S70" s="2"/>
      <c r="T70" s="2"/>
      <c r="U70" s="2"/>
    </row>
    <row r="71" spans="1:21" ht="13.9" x14ac:dyDescent="0.4">
      <c r="A71" s="2"/>
      <c r="B71" s="12" t="s">
        <v>119</v>
      </c>
      <c r="C71" s="12">
        <v>12.08723</v>
      </c>
      <c r="D71" s="12">
        <v>25.299060000000001</v>
      </c>
      <c r="E71" s="12">
        <v>10.311349999999999</v>
      </c>
      <c r="F71" s="12">
        <v>11.739649999999999</v>
      </c>
      <c r="G71" s="12">
        <v>26.35848</v>
      </c>
      <c r="H71" s="12">
        <v>13.548640000000001</v>
      </c>
      <c r="I71" s="2"/>
      <c r="J71" s="2"/>
      <c r="K71" s="2"/>
      <c r="L71" s="12" t="s">
        <v>124</v>
      </c>
      <c r="M71" s="12">
        <v>2.1100000000000001E-2</v>
      </c>
      <c r="N71" s="12">
        <v>1.78E-2</v>
      </c>
      <c r="O71" s="12">
        <v>1.7600000000000001E-2</v>
      </c>
      <c r="P71" s="2"/>
      <c r="Q71" s="2"/>
      <c r="R71" s="2"/>
      <c r="S71" s="2"/>
      <c r="T71" s="2"/>
      <c r="U71" s="2"/>
    </row>
    <row r="72" spans="1:21" ht="13.9" x14ac:dyDescent="0.4">
      <c r="A72" s="2"/>
      <c r="B72" s="12" t="s">
        <v>120</v>
      </c>
      <c r="C72" s="12">
        <v>7.2947800000000003</v>
      </c>
      <c r="D72" s="12">
        <v>20.427129999999998</v>
      </c>
      <c r="E72" s="12">
        <v>7.9234470000000004</v>
      </c>
      <c r="F72" s="12">
        <v>11.176</v>
      </c>
      <c r="G72" s="12">
        <v>22.240739999999999</v>
      </c>
      <c r="H72" s="12">
        <v>10.81021</v>
      </c>
      <c r="I72" s="2"/>
      <c r="J72" s="2"/>
      <c r="K72" s="2"/>
      <c r="L72" s="12" t="s">
        <v>125</v>
      </c>
      <c r="M72" s="12">
        <v>3.8199999999999998E-2</v>
      </c>
      <c r="N72" s="12">
        <v>2.5899999999999999E-2</v>
      </c>
      <c r="O72" s="12">
        <v>2.41E-2</v>
      </c>
      <c r="P72" s="2"/>
      <c r="Q72" s="2"/>
      <c r="R72" s="2"/>
      <c r="S72" s="2"/>
      <c r="T72" s="2"/>
      <c r="U72" s="2"/>
    </row>
    <row r="73" spans="1:21" ht="13.9" x14ac:dyDescent="0.4">
      <c r="A73" s="2"/>
      <c r="B73" s="12" t="s">
        <v>121</v>
      </c>
      <c r="C73" s="12">
        <v>2.6601569999999999</v>
      </c>
      <c r="D73" s="12">
        <v>5.9770050000000001</v>
      </c>
      <c r="E73" s="12">
        <v>7.7222280000000003</v>
      </c>
      <c r="F73" s="12">
        <v>2.9846699999999999</v>
      </c>
      <c r="G73" s="12">
        <v>12.95397</v>
      </c>
      <c r="H73" s="12">
        <v>6.0595169999999996</v>
      </c>
      <c r="I73" s="2"/>
      <c r="J73" s="2"/>
      <c r="K73" s="2"/>
      <c r="L73" s="12" t="s">
        <v>126</v>
      </c>
      <c r="M73" s="12">
        <v>5.7099999999999998E-2</v>
      </c>
      <c r="N73" s="12">
        <v>6.2700000000000006E-2</v>
      </c>
      <c r="O73" s="12">
        <v>5.2499999999999998E-2</v>
      </c>
      <c r="P73" s="2"/>
      <c r="Q73" s="2"/>
      <c r="R73" s="2"/>
      <c r="S73" s="2"/>
      <c r="T73" s="2"/>
      <c r="U73" s="2"/>
    </row>
    <row r="74" spans="1:21" ht="13.9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 spans="1:21" ht="13.9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 spans="1:21" ht="13.9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spans="1:21" ht="13.9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 spans="1:21" ht="13.9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 spans="1:21" ht="13.9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 spans="1:21" ht="13.9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 spans="1:21" ht="13.9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 spans="1:21" ht="13.9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 spans="1:21" ht="13.9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</sheetData>
  <mergeCells count="24">
    <mergeCell ref="M67:O67"/>
    <mergeCell ref="S3:U3"/>
    <mergeCell ref="S14:U14"/>
    <mergeCell ref="S25:U25"/>
    <mergeCell ref="C66:E66"/>
    <mergeCell ref="F66:H66"/>
    <mergeCell ref="M3:O3"/>
    <mergeCell ref="M14:O14"/>
    <mergeCell ref="M25:O25"/>
    <mergeCell ref="M36:O36"/>
    <mergeCell ref="M47:O47"/>
    <mergeCell ref="M57:O57"/>
    <mergeCell ref="C36:E36"/>
    <mergeCell ref="F36:H36"/>
    <mergeCell ref="C46:E46"/>
    <mergeCell ref="F46:H46"/>
    <mergeCell ref="C56:E56"/>
    <mergeCell ref="F56:H56"/>
    <mergeCell ref="C3:E3"/>
    <mergeCell ref="F3:H3"/>
    <mergeCell ref="C14:E14"/>
    <mergeCell ref="F14:H14"/>
    <mergeCell ref="C25:E25"/>
    <mergeCell ref="F25:H25"/>
  </mergeCells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3:M22"/>
  <sheetViews>
    <sheetView zoomScale="92" zoomScaleNormal="92" workbookViewId="0">
      <selection activeCell="G31" sqref="G31"/>
    </sheetView>
  </sheetViews>
  <sheetFormatPr defaultColWidth="9" defaultRowHeight="13.9" x14ac:dyDescent="0.3"/>
  <cols>
    <col min="1" max="9" width="9" style="2"/>
    <col min="10" max="10" width="12.796875" style="2"/>
    <col min="11" max="13" width="9" style="2"/>
  </cols>
  <sheetData>
    <row r="3" spans="1:13" x14ac:dyDescent="0.4">
      <c r="A3" s="16" t="s">
        <v>129</v>
      </c>
      <c r="D3" s="23" t="s">
        <v>15</v>
      </c>
      <c r="E3" s="23"/>
      <c r="F3" s="23"/>
      <c r="G3" s="23"/>
      <c r="H3" s="23"/>
      <c r="I3" s="23" t="s">
        <v>23</v>
      </c>
      <c r="J3" s="23"/>
      <c r="K3" s="23"/>
      <c r="L3" s="23"/>
      <c r="M3" s="23"/>
    </row>
    <row r="4" spans="1:13" x14ac:dyDescent="0.4">
      <c r="C4" s="2" t="s">
        <v>79</v>
      </c>
      <c r="D4" s="12">
        <v>85.208759999999998</v>
      </c>
      <c r="E4" s="12">
        <v>127.413</v>
      </c>
      <c r="F4" s="12">
        <v>59.623199999999997</v>
      </c>
      <c r="G4" s="12">
        <v>79.905280000000005</v>
      </c>
      <c r="H4" s="12">
        <v>120.7003</v>
      </c>
      <c r="I4" s="12">
        <v>102.6438</v>
      </c>
      <c r="J4" s="12">
        <v>122.4496</v>
      </c>
      <c r="K4" s="12">
        <v>76.159719999999993</v>
      </c>
      <c r="L4" s="12">
        <v>145.119</v>
      </c>
      <c r="M4" s="12">
        <v>62.375039999999998</v>
      </c>
    </row>
    <row r="5" spans="1:13" x14ac:dyDescent="0.4">
      <c r="C5" s="2">
        <v>1</v>
      </c>
      <c r="D5" s="12">
        <v>220.3391</v>
      </c>
      <c r="E5" s="12">
        <v>160.5984</v>
      </c>
      <c r="F5" s="12">
        <v>277.875</v>
      </c>
      <c r="G5" s="12">
        <v>230.67619999999999</v>
      </c>
      <c r="H5" s="12">
        <v>210.43620000000001</v>
      </c>
      <c r="I5" s="12">
        <v>191.411</v>
      </c>
      <c r="J5" s="12">
        <v>263.25</v>
      </c>
      <c r="K5" s="12">
        <v>119.04259999999999</v>
      </c>
      <c r="L5" s="12">
        <v>192.5352</v>
      </c>
      <c r="M5" s="12">
        <v>159.91040000000001</v>
      </c>
    </row>
    <row r="6" spans="1:13" x14ac:dyDescent="0.4">
      <c r="C6" s="2">
        <v>2</v>
      </c>
      <c r="D6" s="12">
        <v>643.79949999999997</v>
      </c>
      <c r="E6" s="12">
        <v>512.71270000000004</v>
      </c>
      <c r="F6" s="12">
        <v>608.62459999999999</v>
      </c>
      <c r="G6" s="12">
        <v>535.57500000000005</v>
      </c>
      <c r="H6" s="12">
        <v>406.57499999999999</v>
      </c>
      <c r="I6" s="12">
        <v>287.89490000000001</v>
      </c>
      <c r="J6" s="12">
        <v>366.91199999999998</v>
      </c>
      <c r="K6" s="12">
        <v>189.9539</v>
      </c>
      <c r="L6" s="12">
        <v>264.17660000000001</v>
      </c>
      <c r="M6" s="12">
        <v>206.78530000000001</v>
      </c>
    </row>
    <row r="7" spans="1:13" x14ac:dyDescent="0.4">
      <c r="C7" s="2">
        <v>3</v>
      </c>
      <c r="D7" s="12">
        <v>805.37599999999998</v>
      </c>
      <c r="E7" s="12">
        <v>686.4</v>
      </c>
      <c r="F7" s="12">
        <v>979.89840000000004</v>
      </c>
      <c r="G7" s="12">
        <v>989.34209999999996</v>
      </c>
      <c r="H7" s="12">
        <v>838.11419999999998</v>
      </c>
      <c r="I7" s="12">
        <v>486.0326</v>
      </c>
      <c r="J7" s="12">
        <v>532.98749999999995</v>
      </c>
      <c r="K7" s="12">
        <v>402.09519999999998</v>
      </c>
      <c r="L7" s="12">
        <v>584.66300000000001</v>
      </c>
      <c r="M7" s="12">
        <v>290.9665</v>
      </c>
    </row>
    <row r="10" spans="1:13" x14ac:dyDescent="0.4">
      <c r="A10" s="16" t="s">
        <v>130</v>
      </c>
      <c r="E10" s="12" t="s">
        <v>15</v>
      </c>
      <c r="F10" s="12" t="s">
        <v>23</v>
      </c>
    </row>
    <row r="11" spans="1:13" x14ac:dyDescent="0.4">
      <c r="E11" s="12">
        <v>805.37599999999998</v>
      </c>
      <c r="F11" s="12">
        <v>486.0326</v>
      </c>
    </row>
    <row r="12" spans="1:13" x14ac:dyDescent="0.4">
      <c r="E12" s="12">
        <v>686.4</v>
      </c>
      <c r="F12" s="12">
        <v>532.98749999999995</v>
      </c>
    </row>
    <row r="13" spans="1:13" x14ac:dyDescent="0.4">
      <c r="E13" s="12">
        <v>979.89840000000004</v>
      </c>
      <c r="F13" s="12">
        <v>402.09519999999998</v>
      </c>
    </row>
    <row r="14" spans="1:13" x14ac:dyDescent="0.4">
      <c r="E14" s="12">
        <v>989.34209999999996</v>
      </c>
      <c r="F14" s="12">
        <v>584.66300000000001</v>
      </c>
    </row>
    <row r="15" spans="1:13" x14ac:dyDescent="0.4">
      <c r="E15" s="12">
        <v>838.11419999999998</v>
      </c>
      <c r="F15" s="12">
        <v>290.9665</v>
      </c>
    </row>
    <row r="16" spans="1:13" x14ac:dyDescent="0.4">
      <c r="F16" s="12"/>
      <c r="G16" s="12"/>
      <c r="H16" s="12"/>
      <c r="J16" s="12"/>
      <c r="K16" s="12"/>
      <c r="L16" s="12"/>
      <c r="M16" s="12"/>
    </row>
    <row r="22" spans="4:4" x14ac:dyDescent="0.4">
      <c r="D22" s="12"/>
    </row>
  </sheetData>
  <mergeCells count="2">
    <mergeCell ref="D3:H3"/>
    <mergeCell ref="I3:M3"/>
  </mergeCells>
  <phoneticPr fontId="10" type="noConversion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A572B-93CB-4130-B1FC-F06E7CD384F0}">
  <dimension ref="A4:G37"/>
  <sheetViews>
    <sheetView workbookViewId="0">
      <selection activeCell="G33" sqref="G33"/>
    </sheetView>
  </sheetViews>
  <sheetFormatPr defaultRowHeight="13.5" x14ac:dyDescent="0.3"/>
  <sheetData>
    <row r="4" spans="1:7" ht="13.9" x14ac:dyDescent="0.3">
      <c r="A4" s="16" t="s">
        <v>145</v>
      </c>
      <c r="B4" s="2"/>
      <c r="C4" s="2"/>
      <c r="D4" s="21" t="s">
        <v>11</v>
      </c>
      <c r="E4" s="21"/>
      <c r="F4" s="21"/>
      <c r="G4" s="2"/>
    </row>
    <row r="5" spans="1:7" ht="13.9" x14ac:dyDescent="0.3">
      <c r="A5" s="2"/>
      <c r="B5" s="2"/>
      <c r="C5" s="2"/>
      <c r="D5" s="2" t="s">
        <v>112</v>
      </c>
      <c r="E5" s="2" t="s">
        <v>146</v>
      </c>
      <c r="F5" s="2" t="s">
        <v>147</v>
      </c>
      <c r="G5" s="2"/>
    </row>
    <row r="6" spans="1:7" ht="13.9" x14ac:dyDescent="0.3">
      <c r="A6" s="2"/>
      <c r="B6" s="2"/>
      <c r="C6" s="2"/>
      <c r="D6" s="2">
        <v>1.36604037715476</v>
      </c>
      <c r="E6" s="2">
        <v>1.76911044026971</v>
      </c>
      <c r="F6" s="2">
        <v>1.55697277563003</v>
      </c>
      <c r="G6" s="2"/>
    </row>
    <row r="7" spans="1:7" ht="13.9" x14ac:dyDescent="0.3">
      <c r="A7" s="2"/>
      <c r="B7" s="2"/>
      <c r="C7" s="2"/>
      <c r="D7" s="2">
        <v>0.928308781677328</v>
      </c>
      <c r="E7" s="2">
        <v>2.1132609895460002</v>
      </c>
      <c r="F7" s="2">
        <v>1.83522002502153</v>
      </c>
      <c r="G7" s="2"/>
    </row>
    <row r="8" spans="1:7" ht="13.9" x14ac:dyDescent="0.3">
      <c r="A8" s="2"/>
      <c r="B8" s="2"/>
      <c r="C8" s="2"/>
      <c r="D8" s="2">
        <v>0.78857681614210196</v>
      </c>
      <c r="E8" s="2">
        <v>1.9219299384689299</v>
      </c>
      <c r="F8" s="2">
        <v>1.93769466326847</v>
      </c>
      <c r="G8" s="2"/>
    </row>
    <row r="9" spans="1:7" ht="13.9" x14ac:dyDescent="0.3">
      <c r="A9" s="2"/>
      <c r="B9" s="2"/>
      <c r="C9" s="4" t="s">
        <v>143</v>
      </c>
      <c r="D9" s="4">
        <f>AVERAGE(D6:D8)</f>
        <v>1.0276419916580632</v>
      </c>
      <c r="E9" s="4">
        <f>AVERAGE(E6:E8)</f>
        <v>1.9347671227615466</v>
      </c>
      <c r="F9" s="4">
        <f>AVERAGE(F6:F8)</f>
        <v>1.7766291546400099</v>
      </c>
      <c r="G9" s="2"/>
    </row>
    <row r="10" spans="1:7" ht="13.9" x14ac:dyDescent="0.3">
      <c r="A10" s="2"/>
      <c r="B10" s="2"/>
      <c r="C10" s="4" t="s">
        <v>144</v>
      </c>
      <c r="D10" s="4">
        <f>STDEV(D6:D8)</f>
        <v>0.3012745525731681</v>
      </c>
      <c r="E10" s="4">
        <f>STDEV(E6:E8)</f>
        <v>0.17243403120386364</v>
      </c>
      <c r="F10" s="4">
        <f>STDEV(F6:F8)</f>
        <v>0.19700750366621139</v>
      </c>
      <c r="G10" s="2"/>
    </row>
    <row r="11" spans="1:7" ht="13.9" x14ac:dyDescent="0.3">
      <c r="A11" s="2"/>
      <c r="B11" s="2"/>
      <c r="G11" s="2"/>
    </row>
    <row r="12" spans="1:7" ht="13.9" x14ac:dyDescent="0.3">
      <c r="A12" s="2"/>
      <c r="B12" s="2"/>
      <c r="C12" s="2"/>
      <c r="D12" s="2"/>
      <c r="E12" s="2"/>
      <c r="F12" s="2"/>
      <c r="G12" s="2"/>
    </row>
    <row r="13" spans="1:7" ht="13.9" x14ac:dyDescent="0.3">
      <c r="A13" s="2"/>
      <c r="B13" s="2"/>
      <c r="C13" s="2"/>
      <c r="D13" s="2"/>
      <c r="E13" s="2"/>
      <c r="F13" s="2"/>
      <c r="G13" s="2"/>
    </row>
    <row r="14" spans="1:7" ht="13.9" x14ac:dyDescent="0.3">
      <c r="A14" s="2"/>
      <c r="B14" s="2"/>
      <c r="C14" s="2"/>
      <c r="D14" s="2"/>
      <c r="E14" s="2"/>
      <c r="F14" s="2"/>
      <c r="G14" s="2"/>
    </row>
    <row r="15" spans="1:7" ht="13.9" x14ac:dyDescent="0.3">
      <c r="A15" s="2"/>
      <c r="B15" s="2"/>
      <c r="C15" s="2"/>
      <c r="D15" s="2"/>
      <c r="E15" s="2"/>
      <c r="F15" s="2"/>
      <c r="G15" s="2"/>
    </row>
    <row r="16" spans="1:7" ht="13.9" x14ac:dyDescent="0.3">
      <c r="A16" s="2"/>
      <c r="B16" s="2"/>
      <c r="C16" s="2"/>
      <c r="D16" s="2"/>
      <c r="E16" s="2"/>
      <c r="F16" s="2"/>
      <c r="G16" s="2"/>
    </row>
    <row r="17" spans="1:7" ht="13.9" x14ac:dyDescent="0.3">
      <c r="A17" s="2"/>
      <c r="B17" s="2"/>
      <c r="D17" s="21" t="s">
        <v>148</v>
      </c>
      <c r="E17" s="21"/>
      <c r="F17" s="21"/>
      <c r="G17" s="2"/>
    </row>
    <row r="18" spans="1:7" ht="13.9" x14ac:dyDescent="0.3">
      <c r="A18" s="2"/>
      <c r="B18" s="2"/>
      <c r="C18" s="2"/>
      <c r="D18" s="2" t="s">
        <v>112</v>
      </c>
      <c r="E18" s="2" t="s">
        <v>146</v>
      </c>
      <c r="F18" s="2" t="s">
        <v>147</v>
      </c>
      <c r="G18" s="2"/>
    </row>
    <row r="19" spans="1:7" ht="13.9" x14ac:dyDescent="0.3">
      <c r="A19" s="2"/>
      <c r="B19" s="2"/>
      <c r="C19" s="2"/>
      <c r="D19" s="2">
        <v>1.1163932183256</v>
      </c>
      <c r="E19" s="2">
        <v>1.7288896447470301</v>
      </c>
      <c r="F19" s="2">
        <v>2.0032514149198102</v>
      </c>
      <c r="G19" s="2"/>
    </row>
    <row r="20" spans="1:7" ht="13.9" x14ac:dyDescent="0.3">
      <c r="A20" s="2"/>
      <c r="B20" s="2"/>
      <c r="C20" s="2"/>
      <c r="D20" s="2">
        <v>0.94111598040467304</v>
      </c>
      <c r="E20" s="2">
        <v>2.2471135352021401</v>
      </c>
      <c r="F20" s="2">
        <v>1.9435289039443899</v>
      </c>
      <c r="G20" s="2"/>
    </row>
    <row r="21" spans="1:7" ht="13.9" x14ac:dyDescent="0.3">
      <c r="A21" s="2"/>
      <c r="B21" s="2"/>
      <c r="C21" s="2"/>
      <c r="D21" s="2">
        <v>0.95178676714747001</v>
      </c>
      <c r="E21" s="2">
        <v>2.1225683024172302</v>
      </c>
      <c r="F21" s="2">
        <v>1.8470595526889799</v>
      </c>
      <c r="G21" s="2"/>
    </row>
    <row r="22" spans="1:7" ht="13.9" x14ac:dyDescent="0.3">
      <c r="A22" s="2"/>
      <c r="B22" s="2"/>
      <c r="C22" s="4" t="s">
        <v>143</v>
      </c>
      <c r="D22" s="4">
        <f>AVERAGE(D19:D21)</f>
        <v>1.0030986552925809</v>
      </c>
      <c r="E22" s="4">
        <f>AVERAGE(E19:E21)</f>
        <v>2.0328571607888004</v>
      </c>
      <c r="F22" s="4">
        <f>AVERAGE(F19:F21)</f>
        <v>1.9312799571843933</v>
      </c>
      <c r="G22" s="2"/>
    </row>
    <row r="23" spans="1:7" ht="13.9" x14ac:dyDescent="0.3">
      <c r="A23" s="2"/>
      <c r="B23" s="2"/>
      <c r="C23" s="4" t="s">
        <v>144</v>
      </c>
      <c r="D23" s="4">
        <f>STDEV(D19:D21)</f>
        <v>9.8260927799708866E-2</v>
      </c>
      <c r="E23" s="4">
        <f>STDEV(E19:E21)</f>
        <v>0.27050890347419748</v>
      </c>
      <c r="F23" s="4">
        <f>STDEV(F19:F21)</f>
        <v>7.8813082539198956E-2</v>
      </c>
      <c r="G23" s="2"/>
    </row>
    <row r="24" spans="1:7" ht="13.9" x14ac:dyDescent="0.3">
      <c r="A24" s="2"/>
      <c r="B24" s="2"/>
      <c r="G24" s="2"/>
    </row>
    <row r="25" spans="1:7" ht="13.9" x14ac:dyDescent="0.3">
      <c r="A25" s="2"/>
      <c r="B25" s="2"/>
      <c r="G25" s="2"/>
    </row>
    <row r="37" spans="4:4" x14ac:dyDescent="0.3">
      <c r="D37" s="13"/>
    </row>
  </sheetData>
  <mergeCells count="2">
    <mergeCell ref="D4:F4"/>
    <mergeCell ref="D17:F17"/>
  </mergeCells>
  <phoneticPr fontId="1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C181"/>
  <sheetViews>
    <sheetView zoomScale="70" zoomScaleNormal="70" workbookViewId="0">
      <selection activeCell="M42" sqref="M42"/>
    </sheetView>
  </sheetViews>
  <sheetFormatPr defaultColWidth="9.06640625" defaultRowHeight="17.649999999999999" x14ac:dyDescent="0.3"/>
  <cols>
    <col min="1" max="1" width="14.59765625" style="9" customWidth="1"/>
    <col min="2" max="3" width="9.06640625" style="2"/>
    <col min="4" max="4" width="10.33203125" style="2" customWidth="1"/>
    <col min="5" max="5" width="13.06640625" style="2" customWidth="1"/>
    <col min="6" max="6" width="9.06640625" style="2"/>
    <col min="7" max="7" width="11.265625" style="2" customWidth="1"/>
    <col min="8" max="8" width="14.33203125" style="2" customWidth="1"/>
    <col min="9" max="9" width="9.06640625" style="2"/>
    <col min="10" max="10" width="10.06640625" style="2" customWidth="1"/>
    <col min="11" max="11" width="14.19921875" style="2" customWidth="1"/>
    <col min="12" max="12" width="9.06640625" style="2"/>
    <col min="13" max="13" width="12.3984375" style="2" customWidth="1"/>
    <col min="14" max="16384" width="9.06640625" style="2"/>
  </cols>
  <sheetData>
    <row r="2" spans="1:23" ht="13.9" x14ac:dyDescent="0.3">
      <c r="A2" s="16" t="s">
        <v>149</v>
      </c>
      <c r="B2" s="3" t="s">
        <v>46</v>
      </c>
      <c r="D2" s="21" t="s">
        <v>3</v>
      </c>
      <c r="E2" s="21"/>
      <c r="G2" s="21" t="s">
        <v>6</v>
      </c>
      <c r="H2" s="21"/>
      <c r="J2" s="21" t="s">
        <v>5</v>
      </c>
      <c r="K2" s="21"/>
      <c r="M2" s="16" t="s">
        <v>150</v>
      </c>
      <c r="N2" s="3" t="s">
        <v>47</v>
      </c>
      <c r="P2" s="21" t="s">
        <v>3</v>
      </c>
      <c r="Q2" s="21"/>
      <c r="S2" s="21" t="s">
        <v>6</v>
      </c>
      <c r="T2" s="21"/>
      <c r="V2" s="21" t="s">
        <v>5</v>
      </c>
      <c r="W2" s="21"/>
    </row>
    <row r="3" spans="1:23" x14ac:dyDescent="0.3">
      <c r="D3" s="2" t="s">
        <v>48</v>
      </c>
      <c r="E3" s="2" t="s">
        <v>49</v>
      </c>
      <c r="G3" s="2" t="s">
        <v>48</v>
      </c>
      <c r="H3" s="2" t="s">
        <v>49</v>
      </c>
      <c r="J3" s="2" t="s">
        <v>48</v>
      </c>
      <c r="K3" s="2" t="s">
        <v>49</v>
      </c>
      <c r="P3" s="2" t="s">
        <v>48</v>
      </c>
      <c r="Q3" s="2" t="s">
        <v>49</v>
      </c>
      <c r="S3" s="2" t="s">
        <v>48</v>
      </c>
      <c r="T3" s="2" t="s">
        <v>49</v>
      </c>
      <c r="V3" s="2" t="s">
        <v>48</v>
      </c>
      <c r="W3" s="2" t="s">
        <v>49</v>
      </c>
    </row>
    <row r="4" spans="1:23" x14ac:dyDescent="0.3">
      <c r="D4" s="2">
        <v>480.20519999999999</v>
      </c>
      <c r="E4" s="2">
        <v>547.63</v>
      </c>
      <c r="G4" s="2">
        <v>619.65340000000003</v>
      </c>
      <c r="H4" s="2">
        <v>1266.1030000000001</v>
      </c>
      <c r="J4" s="2">
        <v>919.59630000000004</v>
      </c>
      <c r="K4" s="2">
        <v>2006.7349999999999</v>
      </c>
      <c r="P4" s="2">
        <v>774.54489999999998</v>
      </c>
      <c r="Q4" s="2">
        <v>1035.8900000000001</v>
      </c>
      <c r="S4" s="2">
        <v>1138.1400000000001</v>
      </c>
      <c r="T4" s="2">
        <v>1458.058</v>
      </c>
      <c r="V4" s="2">
        <v>910.24090000000001</v>
      </c>
      <c r="W4" s="2">
        <v>1206.136</v>
      </c>
    </row>
    <row r="5" spans="1:23" x14ac:dyDescent="0.3">
      <c r="D5" s="2">
        <v>182.45650000000001</v>
      </c>
      <c r="E5" s="2">
        <v>799.25440000000003</v>
      </c>
      <c r="G5" s="2">
        <v>474.78289999999998</v>
      </c>
      <c r="H5" s="2">
        <v>1015.348</v>
      </c>
      <c r="J5" s="2">
        <v>281.37139999999999</v>
      </c>
      <c r="K5" s="2">
        <v>1265.394</v>
      </c>
      <c r="P5" s="2">
        <v>665.48019999999997</v>
      </c>
      <c r="Q5" s="2">
        <v>740.31780000000003</v>
      </c>
      <c r="S5" s="2">
        <v>928.08659999999998</v>
      </c>
      <c r="T5" s="2">
        <v>999.69820000000004</v>
      </c>
      <c r="V5" s="2">
        <v>845.2414</v>
      </c>
      <c r="W5" s="2">
        <v>1369.173</v>
      </c>
    </row>
    <row r="6" spans="1:23" x14ac:dyDescent="0.3">
      <c r="D6" s="2">
        <v>204.71789999999999</v>
      </c>
      <c r="E6" s="2">
        <v>891.18259999999998</v>
      </c>
      <c r="G6" s="2">
        <v>461.46719999999999</v>
      </c>
      <c r="H6" s="2">
        <v>969.10889999999995</v>
      </c>
      <c r="J6" s="2">
        <v>972.84069999999997</v>
      </c>
      <c r="K6" s="2">
        <v>1899.6659999999999</v>
      </c>
      <c r="P6" s="2">
        <v>617.43409999999994</v>
      </c>
      <c r="Q6" s="2">
        <v>634.79939999999999</v>
      </c>
      <c r="T6" s="2">
        <v>1631.5730000000001</v>
      </c>
      <c r="V6" s="2">
        <v>793.96929999999998</v>
      </c>
      <c r="W6" s="2">
        <v>1372.17</v>
      </c>
    </row>
    <row r="7" spans="1:23" x14ac:dyDescent="0.3">
      <c r="D7" s="2">
        <v>137.11009999999999</v>
      </c>
      <c r="E7" s="2">
        <v>1119.7909999999999</v>
      </c>
      <c r="G7" s="2">
        <v>460.36900000000003</v>
      </c>
      <c r="H7" s="2">
        <v>1103.7070000000001</v>
      </c>
      <c r="J7" s="2">
        <v>737.28520000000003</v>
      </c>
      <c r="K7" s="2">
        <v>2079.855</v>
      </c>
      <c r="P7" s="2">
        <v>645.30089999999996</v>
      </c>
      <c r="Q7" s="2">
        <v>1185.2940000000001</v>
      </c>
      <c r="T7" s="2">
        <v>1528.0909999999999</v>
      </c>
      <c r="V7" s="2">
        <v>619.92790000000002</v>
      </c>
      <c r="W7" s="2">
        <v>1523.653</v>
      </c>
    </row>
    <row r="8" spans="1:23" x14ac:dyDescent="0.3">
      <c r="D8" s="2">
        <v>159.852</v>
      </c>
      <c r="E8" s="2">
        <v>662.43730000000005</v>
      </c>
      <c r="G8" s="2">
        <v>413.97019999999998</v>
      </c>
      <c r="H8" s="2">
        <v>1640.7940000000001</v>
      </c>
      <c r="J8" s="2">
        <v>538.56190000000004</v>
      </c>
      <c r="K8" s="2">
        <v>1717.337</v>
      </c>
      <c r="P8" s="2">
        <v>737.11469999999997</v>
      </c>
      <c r="Q8" s="2">
        <v>1746.953</v>
      </c>
      <c r="T8" s="2">
        <v>1349.52</v>
      </c>
      <c r="V8" s="2">
        <v>662.20849999999996</v>
      </c>
      <c r="W8" s="2">
        <v>1877.2719999999999</v>
      </c>
    </row>
    <row r="9" spans="1:23" x14ac:dyDescent="0.3">
      <c r="D9" s="2">
        <v>364.48270000000002</v>
      </c>
      <c r="E9" s="2">
        <v>822.91139999999996</v>
      </c>
      <c r="G9" s="2">
        <v>441.0591</v>
      </c>
      <c r="H9" s="2">
        <v>647.19979999999998</v>
      </c>
      <c r="J9" s="2">
        <v>555.53629999999998</v>
      </c>
      <c r="K9" s="2">
        <v>1917.42</v>
      </c>
      <c r="P9" s="2">
        <v>1060.557</v>
      </c>
      <c r="Q9" s="2">
        <v>1547.47</v>
      </c>
      <c r="T9" s="2">
        <v>1383.221</v>
      </c>
      <c r="V9" s="2">
        <v>726.01829999999995</v>
      </c>
      <c r="W9" s="2">
        <v>1453.894</v>
      </c>
    </row>
    <row r="10" spans="1:23" x14ac:dyDescent="0.3">
      <c r="D10" s="2">
        <v>272.9205</v>
      </c>
      <c r="E10" s="2">
        <v>867.89170000000001</v>
      </c>
      <c r="G10" s="2">
        <v>51.656680000000001</v>
      </c>
      <c r="H10" s="2">
        <v>1312.1579999999999</v>
      </c>
      <c r="J10" s="2">
        <v>431.22089999999997</v>
      </c>
      <c r="K10" s="2">
        <v>1791.636</v>
      </c>
      <c r="P10" s="2">
        <v>432.20490000000001</v>
      </c>
      <c r="Q10" s="2">
        <v>2602.0590000000002</v>
      </c>
      <c r="T10" s="2">
        <v>1695.2460000000001</v>
      </c>
      <c r="W10" s="2">
        <v>1214.075</v>
      </c>
    </row>
    <row r="11" spans="1:23" x14ac:dyDescent="0.3">
      <c r="D11" s="2">
        <v>273.767</v>
      </c>
      <c r="E11" s="2">
        <v>685.93420000000003</v>
      </c>
      <c r="G11" s="2">
        <v>313.34789999999998</v>
      </c>
      <c r="H11" s="2">
        <v>897.01679999999999</v>
      </c>
      <c r="J11" s="2">
        <v>448.86619999999999</v>
      </c>
      <c r="K11" s="2">
        <v>1553.741</v>
      </c>
      <c r="P11" s="2">
        <v>609.42639999999994</v>
      </c>
      <c r="Q11" s="2">
        <v>1894.798</v>
      </c>
      <c r="T11" s="2">
        <v>1413.4670000000001</v>
      </c>
      <c r="W11" s="2">
        <v>1689.0909999999999</v>
      </c>
    </row>
    <row r="12" spans="1:23" x14ac:dyDescent="0.3">
      <c r="D12" s="2">
        <v>136.44659999999999</v>
      </c>
      <c r="E12" s="2">
        <v>662.39160000000004</v>
      </c>
      <c r="G12" s="2">
        <v>552.84640000000002</v>
      </c>
      <c r="H12" s="2">
        <v>655.84810000000004</v>
      </c>
      <c r="J12" s="2">
        <v>898.81359999999995</v>
      </c>
      <c r="K12" s="2">
        <v>1843.3209999999999</v>
      </c>
      <c r="Q12" s="2">
        <v>1497.067</v>
      </c>
      <c r="T12" s="2">
        <v>1349.2449999999999</v>
      </c>
      <c r="W12" s="2">
        <v>1428.0640000000001</v>
      </c>
    </row>
    <row r="13" spans="1:23" x14ac:dyDescent="0.3">
      <c r="D13" s="2">
        <v>530.88239999999996</v>
      </c>
      <c r="E13" s="2">
        <v>593.93730000000005</v>
      </c>
      <c r="G13" s="2">
        <v>256.19589999999999</v>
      </c>
      <c r="H13" s="2">
        <v>1669.164</v>
      </c>
      <c r="J13" s="2">
        <v>465.44159999999999</v>
      </c>
      <c r="K13" s="2">
        <v>1626.0809999999999</v>
      </c>
      <c r="Q13" s="2">
        <v>1424.22</v>
      </c>
      <c r="T13" s="2">
        <v>1404.8409999999999</v>
      </c>
      <c r="W13" s="2">
        <v>1181.999</v>
      </c>
    </row>
    <row r="14" spans="1:23" x14ac:dyDescent="0.3">
      <c r="D14" s="2">
        <v>318.83890000000002</v>
      </c>
      <c r="E14" s="2">
        <v>1674.61</v>
      </c>
      <c r="G14" s="2">
        <v>511.18349999999998</v>
      </c>
      <c r="H14" s="2">
        <v>806.46130000000005</v>
      </c>
      <c r="J14" s="2">
        <v>707.38059999999996</v>
      </c>
      <c r="K14" s="2">
        <v>1989.18</v>
      </c>
      <c r="Q14" s="2">
        <v>1367.8230000000001</v>
      </c>
      <c r="W14" s="2">
        <v>1301.0160000000001</v>
      </c>
    </row>
    <row r="15" spans="1:23" x14ac:dyDescent="0.3">
      <c r="D15" s="2">
        <v>784.77189999999996</v>
      </c>
      <c r="E15" s="2">
        <v>1866.596</v>
      </c>
      <c r="G15" s="2">
        <v>90.413880000000006</v>
      </c>
      <c r="H15" s="2">
        <v>1071.4010000000001</v>
      </c>
      <c r="J15" s="2">
        <v>793.92079999999999</v>
      </c>
      <c r="K15" s="2">
        <v>1716.575</v>
      </c>
      <c r="Q15" s="2">
        <v>1337.3710000000001</v>
      </c>
      <c r="W15" s="2">
        <v>1173.923</v>
      </c>
    </row>
    <row r="16" spans="1:23" x14ac:dyDescent="0.3">
      <c r="D16" s="2">
        <v>365.5351</v>
      </c>
      <c r="E16" s="2">
        <v>1663.527</v>
      </c>
      <c r="G16" s="2">
        <v>180.69479999999999</v>
      </c>
      <c r="H16" s="2">
        <v>1391.5940000000001</v>
      </c>
      <c r="J16" s="2">
        <v>995.25549999999998</v>
      </c>
      <c r="K16" s="2">
        <v>1793.1769999999999</v>
      </c>
      <c r="Q16" s="2">
        <v>1573.7349999999999</v>
      </c>
      <c r="W16" s="2">
        <v>1105.354</v>
      </c>
    </row>
    <row r="17" spans="4:23" x14ac:dyDescent="0.3">
      <c r="D17" s="2">
        <v>159.32579999999999</v>
      </c>
      <c r="E17" s="2">
        <v>2727.6329999999998</v>
      </c>
      <c r="G17" s="2">
        <v>273.03489999999999</v>
      </c>
      <c r="H17" s="2">
        <v>1423.808</v>
      </c>
      <c r="J17" s="2">
        <v>1178.165</v>
      </c>
      <c r="K17" s="2">
        <v>1734.511</v>
      </c>
      <c r="W17" s="2">
        <v>1225.2860000000001</v>
      </c>
    </row>
    <row r="18" spans="4:23" x14ac:dyDescent="0.3">
      <c r="D18" s="2">
        <v>964.6</v>
      </c>
      <c r="E18" s="2">
        <v>1977.5719999999999</v>
      </c>
      <c r="G18" s="2">
        <v>136.12629999999999</v>
      </c>
      <c r="H18" s="2">
        <v>1379.377</v>
      </c>
      <c r="J18" s="2">
        <v>574.0702</v>
      </c>
      <c r="K18" s="2">
        <v>2043.1859999999999</v>
      </c>
      <c r="W18" s="2">
        <v>1941.402</v>
      </c>
    </row>
    <row r="19" spans="4:23" x14ac:dyDescent="0.3">
      <c r="D19" s="2">
        <v>978.07860000000005</v>
      </c>
      <c r="E19" s="2">
        <v>1688.2809999999999</v>
      </c>
      <c r="G19" s="2">
        <v>205.084</v>
      </c>
      <c r="H19" s="2">
        <v>1458.8589999999999</v>
      </c>
      <c r="J19" s="2">
        <v>937.53179999999998</v>
      </c>
      <c r="K19" s="2">
        <v>1626.2809999999999</v>
      </c>
      <c r="W19" s="2">
        <v>935.45370000000003</v>
      </c>
    </row>
    <row r="20" spans="4:23" x14ac:dyDescent="0.3">
      <c r="D20" s="2">
        <v>1002.588</v>
      </c>
      <c r="E20" s="2">
        <v>2370.7919999999999</v>
      </c>
      <c r="G20" s="2">
        <v>204.4434</v>
      </c>
      <c r="H20" s="2">
        <v>1488.8309999999999</v>
      </c>
      <c r="J20" s="2">
        <v>1046.94</v>
      </c>
      <c r="K20" s="2">
        <v>2243.85</v>
      </c>
      <c r="W20" s="2">
        <v>1459.98</v>
      </c>
    </row>
    <row r="21" spans="4:23" x14ac:dyDescent="0.3">
      <c r="D21" s="2">
        <v>971.87249999999995</v>
      </c>
      <c r="E21" s="2">
        <v>2179.453</v>
      </c>
      <c r="G21" s="2">
        <v>204.7637</v>
      </c>
      <c r="H21" s="2">
        <v>1449.7070000000001</v>
      </c>
      <c r="J21" s="2">
        <v>920.37609999999995</v>
      </c>
      <c r="K21" s="2">
        <v>1825.7660000000001</v>
      </c>
      <c r="W21" s="2">
        <v>1268.5509999999999</v>
      </c>
    </row>
    <row r="22" spans="4:23" x14ac:dyDescent="0.3">
      <c r="D22" s="2">
        <v>963.28890000000001</v>
      </c>
      <c r="E22" s="2">
        <v>2528.9859999999999</v>
      </c>
      <c r="G22" s="2">
        <v>227.59700000000001</v>
      </c>
      <c r="H22" s="2">
        <v>1385.6690000000001</v>
      </c>
      <c r="J22" s="2">
        <v>1108.4110000000001</v>
      </c>
      <c r="K22" s="2">
        <v>2170.2040000000002</v>
      </c>
      <c r="W22" s="2">
        <v>2058.0859999999998</v>
      </c>
    </row>
    <row r="23" spans="4:23" x14ac:dyDescent="0.3">
      <c r="D23" s="2">
        <v>960.87639999999999</v>
      </c>
      <c r="E23" s="2">
        <v>2017.885</v>
      </c>
      <c r="G23" s="2">
        <v>296.05130000000003</v>
      </c>
      <c r="H23" s="2">
        <v>1454.4659999999999</v>
      </c>
      <c r="J23" s="2">
        <v>1145.6849999999999</v>
      </c>
      <c r="K23" s="2">
        <v>1807.25</v>
      </c>
      <c r="W23" s="2">
        <v>1129.308</v>
      </c>
    </row>
    <row r="24" spans="4:23" x14ac:dyDescent="0.3">
      <c r="D24" s="2">
        <v>945.6671</v>
      </c>
      <c r="E24" s="2">
        <v>2193.665</v>
      </c>
      <c r="G24" s="2">
        <v>227.91730000000001</v>
      </c>
      <c r="H24" s="2">
        <v>1421.886</v>
      </c>
      <c r="J24" s="2">
        <v>776.60329999999999</v>
      </c>
      <c r="K24" s="2">
        <v>2060.741</v>
      </c>
      <c r="W24" s="2">
        <v>1223.8679999999999</v>
      </c>
    </row>
    <row r="25" spans="4:23" x14ac:dyDescent="0.3">
      <c r="D25" s="2">
        <v>965.59649999999999</v>
      </c>
      <c r="E25" s="2">
        <v>1844.482</v>
      </c>
      <c r="G25" s="2">
        <v>90.276610000000005</v>
      </c>
      <c r="H25" s="2">
        <v>1404.7729999999999</v>
      </c>
      <c r="J25" s="2">
        <v>850.87350000000004</v>
      </c>
      <c r="K25" s="2">
        <v>1590.21</v>
      </c>
      <c r="W25" s="2">
        <v>1749.058</v>
      </c>
    </row>
    <row r="26" spans="4:23" x14ac:dyDescent="0.3">
      <c r="D26" s="2">
        <v>951.40120000000002</v>
      </c>
      <c r="E26" s="2">
        <v>1768.2080000000001</v>
      </c>
      <c r="G26" s="2">
        <v>411.33909999999997</v>
      </c>
      <c r="H26" s="2">
        <v>1385.0050000000001</v>
      </c>
      <c r="J26" s="2">
        <v>813.72919999999999</v>
      </c>
      <c r="K26" s="2">
        <v>2115.9259999999999</v>
      </c>
      <c r="W26" s="2">
        <v>1437.124</v>
      </c>
    </row>
    <row r="27" spans="4:23" x14ac:dyDescent="0.3">
      <c r="D27" s="2">
        <v>969.84460000000001</v>
      </c>
      <c r="E27" s="2">
        <v>2198.56</v>
      </c>
      <c r="G27" s="2">
        <v>880.96389999999997</v>
      </c>
      <c r="H27" s="2">
        <v>1400.9290000000001</v>
      </c>
      <c r="J27" s="2">
        <v>629.61279999999999</v>
      </c>
      <c r="K27" s="2">
        <v>1770.5809999999999</v>
      </c>
      <c r="W27" s="2">
        <v>1684.31</v>
      </c>
    </row>
    <row r="28" spans="4:23" x14ac:dyDescent="0.3">
      <c r="D28" s="2">
        <v>969.4425</v>
      </c>
      <c r="E28" s="2">
        <v>2020.28</v>
      </c>
      <c r="G28" s="2">
        <v>694.79809999999998</v>
      </c>
      <c r="H28" s="2">
        <v>1437.97</v>
      </c>
      <c r="J28" s="2">
        <v>647.78830000000005</v>
      </c>
      <c r="K28" s="2">
        <v>1682.4269999999999</v>
      </c>
      <c r="W28" s="2">
        <v>1871.7349999999999</v>
      </c>
    </row>
    <row r="29" spans="4:23" x14ac:dyDescent="0.3">
      <c r="D29" s="2">
        <v>970.14179999999999</v>
      </c>
      <c r="E29" s="2">
        <v>2371.0189999999998</v>
      </c>
      <c r="G29" s="2">
        <v>939.13388999999995</v>
      </c>
      <c r="H29" s="2">
        <v>1443.7819999999999</v>
      </c>
      <c r="J29" s="2">
        <v>795.1662</v>
      </c>
      <c r="K29" s="2">
        <v>1843.52</v>
      </c>
      <c r="W29" s="2">
        <v>1090.9860000000001</v>
      </c>
    </row>
    <row r="30" spans="4:23" x14ac:dyDescent="0.3">
      <c r="D30" s="2">
        <v>970.42150000000004</v>
      </c>
      <c r="E30" s="2">
        <v>3069.5439999999999</v>
      </c>
      <c r="G30" s="2">
        <v>565.71091999999999</v>
      </c>
      <c r="H30" s="2">
        <v>830.34709999999995</v>
      </c>
      <c r="J30" s="2">
        <v>905.43669999999997</v>
      </c>
      <c r="K30" s="2">
        <v>1790.2760000000001</v>
      </c>
      <c r="W30" s="2">
        <v>1401.4780000000001</v>
      </c>
    </row>
    <row r="31" spans="4:23" x14ac:dyDescent="0.3">
      <c r="D31" s="2">
        <v>973.56820000000005</v>
      </c>
      <c r="E31" s="2">
        <v>1843.2929999999999</v>
      </c>
      <c r="G31" s="2">
        <v>716.73461999999995</v>
      </c>
      <c r="H31" s="2">
        <v>871.46079999999995</v>
      </c>
      <c r="J31" s="2">
        <v>923.99969999999996</v>
      </c>
      <c r="K31" s="2">
        <v>2024.87</v>
      </c>
      <c r="W31" s="2">
        <v>1452.201</v>
      </c>
    </row>
    <row r="32" spans="4:23" x14ac:dyDescent="0.3">
      <c r="D32" s="2">
        <v>973.58569999999997</v>
      </c>
      <c r="E32" s="2">
        <v>1672.058</v>
      </c>
      <c r="G32" s="2">
        <v>515.11503000000005</v>
      </c>
      <c r="H32" s="2">
        <v>769.69460000000004</v>
      </c>
      <c r="J32" s="2">
        <v>961.12549999999999</v>
      </c>
      <c r="K32" s="2">
        <v>1752.7719999999999</v>
      </c>
      <c r="W32" s="2">
        <v>1543.146</v>
      </c>
    </row>
    <row r="33" spans="4:23" x14ac:dyDescent="0.3">
      <c r="D33" s="2">
        <v>974.40740000000005</v>
      </c>
      <c r="E33" s="2">
        <v>2156.5340000000001</v>
      </c>
      <c r="G33" s="2">
        <v>491.30135000000001</v>
      </c>
      <c r="H33" s="2">
        <v>1709.1559999999999</v>
      </c>
      <c r="J33" s="2">
        <v>942.56259999999997</v>
      </c>
      <c r="K33" s="2">
        <v>1683.4059999999999</v>
      </c>
      <c r="W33" s="2">
        <v>1062.684</v>
      </c>
    </row>
    <row r="34" spans="4:23" x14ac:dyDescent="0.3">
      <c r="D34" s="2">
        <v>968.5684</v>
      </c>
      <c r="E34" s="2">
        <v>2026.3989999999999</v>
      </c>
      <c r="G34" s="2">
        <v>772.65638999999999</v>
      </c>
      <c r="H34" s="2">
        <v>845.21849999999995</v>
      </c>
      <c r="J34" s="2">
        <v>998.25139999999999</v>
      </c>
      <c r="K34" s="2">
        <v>2170.9110000000001</v>
      </c>
      <c r="W34" s="2">
        <v>1626.38</v>
      </c>
    </row>
    <row r="35" spans="4:23" x14ac:dyDescent="0.3">
      <c r="D35" s="2">
        <v>967.32719999999995</v>
      </c>
      <c r="E35" s="2">
        <v>1930.0730000000001</v>
      </c>
      <c r="G35" s="2">
        <v>905.10499000000004</v>
      </c>
      <c r="H35" s="2">
        <v>1072.683</v>
      </c>
      <c r="J35" s="2">
        <v>628.52419999999995</v>
      </c>
      <c r="K35" s="2">
        <v>2079.4560000000001</v>
      </c>
      <c r="W35" s="2">
        <v>1153.8579999999999</v>
      </c>
    </row>
    <row r="36" spans="4:23" x14ac:dyDescent="0.3">
      <c r="D36" s="2">
        <v>1443.412</v>
      </c>
      <c r="E36" s="2">
        <v>2158.3690000000001</v>
      </c>
      <c r="G36" s="2">
        <v>565.88553999999999</v>
      </c>
      <c r="H36" s="2">
        <v>1280.2190000000001</v>
      </c>
      <c r="J36" s="2">
        <v>648.00969999999995</v>
      </c>
      <c r="K36" s="2">
        <v>1536.059</v>
      </c>
      <c r="W36" s="2">
        <v>1234.3920000000001</v>
      </c>
    </row>
    <row r="37" spans="4:23" x14ac:dyDescent="0.3">
      <c r="D37" s="2">
        <v>1548.915</v>
      </c>
      <c r="E37" s="2">
        <v>1773.768</v>
      </c>
      <c r="G37" s="2">
        <v>482.39577000000003</v>
      </c>
      <c r="H37" s="2">
        <v>685.40790000000004</v>
      </c>
      <c r="J37" s="2">
        <v>943.70659999999998</v>
      </c>
      <c r="K37" s="2">
        <v>1589.721</v>
      </c>
      <c r="W37" s="2">
        <v>1143.127</v>
      </c>
    </row>
    <row r="38" spans="4:23" x14ac:dyDescent="0.3">
      <c r="D38" s="2">
        <v>565.38319999999999</v>
      </c>
      <c r="E38" s="2">
        <v>1634.5070000000001</v>
      </c>
      <c r="G38" s="2">
        <v>440.15978000000001</v>
      </c>
      <c r="H38" s="2">
        <v>1622.9480000000001</v>
      </c>
      <c r="J38" s="2">
        <v>759.23969999999997</v>
      </c>
      <c r="K38" s="2">
        <v>1590.3920000000001</v>
      </c>
      <c r="W38" s="2">
        <v>1174.0139999999999</v>
      </c>
    </row>
    <row r="39" spans="4:23" x14ac:dyDescent="0.3">
      <c r="D39" s="2">
        <v>1616.116</v>
      </c>
      <c r="E39" s="2">
        <v>3209.9940000000001</v>
      </c>
      <c r="G39" s="2">
        <v>511.25157999999999</v>
      </c>
      <c r="H39" s="2">
        <v>753.95370000000003</v>
      </c>
      <c r="J39" s="2">
        <v>742.89110000000005</v>
      </c>
      <c r="K39" s="2">
        <v>1879.7360000000001</v>
      </c>
      <c r="W39" s="2">
        <v>1098.1469999999999</v>
      </c>
    </row>
    <row r="40" spans="4:23" x14ac:dyDescent="0.3">
      <c r="D40" s="2">
        <v>468.72570000000002</v>
      </c>
      <c r="E40" s="2">
        <v>2336.1950000000002</v>
      </c>
      <c r="G40" s="2">
        <v>565.66726000000006</v>
      </c>
      <c r="H40" s="2">
        <v>1531.7059999999999</v>
      </c>
      <c r="J40" s="2">
        <v>660.02706999999998</v>
      </c>
      <c r="K40" s="2">
        <v>1572.855</v>
      </c>
      <c r="W40" s="2">
        <v>1259.8340000000001</v>
      </c>
    </row>
    <row r="41" spans="4:23" x14ac:dyDescent="0.3">
      <c r="D41" s="2">
        <v>222.1609</v>
      </c>
      <c r="E41" s="2">
        <v>2142.0940000000001</v>
      </c>
      <c r="G41" s="2">
        <v>660.66006000000004</v>
      </c>
      <c r="H41" s="2">
        <v>867.98320000000001</v>
      </c>
      <c r="J41" s="2">
        <v>545.58606999999995</v>
      </c>
      <c r="K41" s="2">
        <v>1590.7909999999999</v>
      </c>
      <c r="W41" s="2">
        <v>1278.114</v>
      </c>
    </row>
    <row r="42" spans="4:23" x14ac:dyDescent="0.3">
      <c r="D42" s="2">
        <v>408.16840000000002</v>
      </c>
      <c r="E42" s="2">
        <v>1634.8040000000001</v>
      </c>
      <c r="G42" s="2">
        <v>739.67520999999999</v>
      </c>
      <c r="H42" s="2">
        <v>1194.125</v>
      </c>
      <c r="J42" s="2">
        <v>492.56734</v>
      </c>
      <c r="K42" s="2">
        <v>2369.7249999999999</v>
      </c>
      <c r="W42" s="2">
        <v>1139.5809999999999</v>
      </c>
    </row>
    <row r="43" spans="4:23" x14ac:dyDescent="0.3">
      <c r="D43" s="2">
        <v>546.85239999999999</v>
      </c>
      <c r="E43" s="2">
        <v>1861.771</v>
      </c>
      <c r="H43" s="2">
        <v>1267.3610000000001</v>
      </c>
      <c r="J43" s="2">
        <v>829.45126000000005</v>
      </c>
      <c r="K43" s="2">
        <v>1934.576</v>
      </c>
      <c r="W43" s="2">
        <v>1112.7670000000001</v>
      </c>
    </row>
    <row r="44" spans="4:23" x14ac:dyDescent="0.3">
      <c r="D44" s="2">
        <v>416.47230000000002</v>
      </c>
      <c r="E44" s="2">
        <v>2160.4850000000001</v>
      </c>
      <c r="H44" s="2">
        <v>1288.867</v>
      </c>
      <c r="J44" s="2">
        <v>880.89841999999999</v>
      </c>
      <c r="K44" s="2">
        <v>2242.29</v>
      </c>
      <c r="W44" s="2">
        <v>1222.7919999999999</v>
      </c>
    </row>
    <row r="45" spans="4:23" x14ac:dyDescent="0.3">
      <c r="D45" s="2">
        <v>635.55560000000003</v>
      </c>
      <c r="E45" s="2">
        <v>2228.5940000000001</v>
      </c>
      <c r="H45" s="2">
        <v>868.34929999999997</v>
      </c>
      <c r="J45" s="2">
        <v>327.74871999999999</v>
      </c>
      <c r="K45" s="2">
        <v>1827.325</v>
      </c>
      <c r="W45" s="2">
        <v>1193.027</v>
      </c>
    </row>
    <row r="46" spans="4:23" x14ac:dyDescent="0.3">
      <c r="D46" s="2">
        <v>634.96119999999996</v>
      </c>
      <c r="E46" s="2">
        <v>1790.6379999999999</v>
      </c>
      <c r="H46" s="2">
        <v>1639.8367000000001</v>
      </c>
      <c r="J46" s="2">
        <v>460.54656</v>
      </c>
      <c r="K46" s="2">
        <v>1574.3969999999999</v>
      </c>
    </row>
    <row r="47" spans="4:23" x14ac:dyDescent="0.3">
      <c r="D47" s="2">
        <v>1459.9849999999999</v>
      </c>
      <c r="E47" s="2">
        <v>1689.365</v>
      </c>
      <c r="H47" s="2">
        <v>1368.7186999999999</v>
      </c>
      <c r="J47" s="2">
        <v>642.15043000000003</v>
      </c>
      <c r="K47" s="2">
        <v>1573.037</v>
      </c>
    </row>
    <row r="48" spans="4:23" x14ac:dyDescent="0.3">
      <c r="D48" s="2">
        <v>521.66099999999994</v>
      </c>
      <c r="E48" s="2">
        <v>1827.105</v>
      </c>
      <c r="H48" s="2">
        <v>1291.3842999999999</v>
      </c>
      <c r="J48" s="2">
        <v>696.02043000000003</v>
      </c>
      <c r="K48" s="2">
        <v>1971.4259999999999</v>
      </c>
    </row>
    <row r="49" spans="4:11" x14ac:dyDescent="0.3">
      <c r="D49" s="2">
        <v>244.9573</v>
      </c>
      <c r="E49" s="2">
        <v>2211.41</v>
      </c>
      <c r="H49" s="2">
        <v>938.54454999999996</v>
      </c>
      <c r="J49" s="2">
        <v>719.11380999999994</v>
      </c>
      <c r="K49" s="2">
        <v>1662.3510000000001</v>
      </c>
    </row>
    <row r="50" spans="4:11" x14ac:dyDescent="0.3">
      <c r="D50" s="2">
        <v>918.6576</v>
      </c>
      <c r="E50" s="2">
        <v>2611.8850000000002</v>
      </c>
      <c r="H50" s="2">
        <v>1176.2447999999999</v>
      </c>
      <c r="J50" s="2">
        <v>759.80006000000003</v>
      </c>
      <c r="K50" s="2">
        <v>2170.712</v>
      </c>
    </row>
    <row r="51" spans="4:11" x14ac:dyDescent="0.3">
      <c r="D51" s="2">
        <v>412.60879999999997</v>
      </c>
      <c r="E51" s="2">
        <v>1809.029</v>
      </c>
      <c r="H51" s="2">
        <v>1140.2077999999999</v>
      </c>
      <c r="J51" s="2">
        <v>581.60126000000002</v>
      </c>
      <c r="K51" s="2">
        <v>1734.8910000000001</v>
      </c>
    </row>
    <row r="52" spans="4:11" x14ac:dyDescent="0.3">
      <c r="D52" s="2">
        <v>647.86279999999999</v>
      </c>
      <c r="E52" s="2">
        <v>2160.7820000000002</v>
      </c>
      <c r="H52" s="2">
        <v>1388.8871999999999</v>
      </c>
      <c r="J52" s="2">
        <v>872.36391000000003</v>
      </c>
      <c r="K52" s="2">
        <v>1483.722</v>
      </c>
    </row>
    <row r="53" spans="4:11" x14ac:dyDescent="0.3">
      <c r="D53" s="2">
        <v>330.84589999999997</v>
      </c>
      <c r="E53" s="2">
        <v>2193.0189999999998</v>
      </c>
      <c r="H53" s="2">
        <v>927.63085999999998</v>
      </c>
      <c r="J53" s="2">
        <v>238.25642999999999</v>
      </c>
      <c r="K53" s="2">
        <v>1702.3209999999999</v>
      </c>
    </row>
    <row r="54" spans="4:11" x14ac:dyDescent="0.3">
      <c r="D54" s="2">
        <v>567.14890000000003</v>
      </c>
      <c r="E54" s="2">
        <v>2508.0079999999998</v>
      </c>
      <c r="H54" s="2">
        <v>1145.8173999999999</v>
      </c>
      <c r="J54" s="2">
        <v>916.56437000000005</v>
      </c>
      <c r="K54" s="2">
        <v>1403.982</v>
      </c>
    </row>
    <row r="55" spans="4:11" x14ac:dyDescent="0.3">
      <c r="D55" s="2">
        <v>690.4837</v>
      </c>
      <c r="E55" s="2">
        <v>1828.923</v>
      </c>
      <c r="H55" s="2">
        <v>1219.9213999999999</v>
      </c>
      <c r="J55" s="2">
        <v>483.79273000000001</v>
      </c>
      <c r="K55" s="2">
        <v>1128.93</v>
      </c>
    </row>
    <row r="56" spans="4:11" x14ac:dyDescent="0.3">
      <c r="D56" s="2">
        <v>344.60419999999999</v>
      </c>
      <c r="E56" s="2">
        <v>2146.0100000000002</v>
      </c>
      <c r="H56" s="7"/>
      <c r="J56" s="2">
        <v>565.95101999999997</v>
      </c>
      <c r="K56" s="2">
        <v>1256.8219999999999</v>
      </c>
    </row>
    <row r="57" spans="4:11" x14ac:dyDescent="0.3">
      <c r="D57" s="2">
        <v>483.57659999999998</v>
      </c>
      <c r="E57" s="2">
        <v>2298.5219999999999</v>
      </c>
      <c r="J57" s="2">
        <v>491.23586999999998</v>
      </c>
      <c r="K57" s="2">
        <v>1552.962</v>
      </c>
    </row>
    <row r="58" spans="4:11" x14ac:dyDescent="0.3">
      <c r="D58" s="2">
        <v>755.80100000000004</v>
      </c>
      <c r="E58" s="2">
        <v>1862.383</v>
      </c>
      <c r="J58" s="2">
        <v>328.84008999999998</v>
      </c>
      <c r="K58" s="2">
        <v>1311.607</v>
      </c>
    </row>
    <row r="59" spans="4:11" x14ac:dyDescent="0.3">
      <c r="D59" s="2">
        <v>410.6558</v>
      </c>
      <c r="E59" s="2">
        <v>1655.31</v>
      </c>
      <c r="J59" s="2">
        <v>440.1816</v>
      </c>
      <c r="K59" s="2">
        <v>1255.9000000000001</v>
      </c>
    </row>
    <row r="60" spans="4:11" x14ac:dyDescent="0.3">
      <c r="D60" s="2">
        <v>737.66600000000005</v>
      </c>
      <c r="E60" s="2">
        <v>2005.2449999999999</v>
      </c>
      <c r="J60" s="2">
        <v>473.14096000000001</v>
      </c>
      <c r="K60" s="2">
        <v>1477.566</v>
      </c>
    </row>
    <row r="61" spans="4:11" x14ac:dyDescent="0.3">
      <c r="E61" s="2">
        <v>1952.5029999999999</v>
      </c>
      <c r="J61" s="2">
        <v>827.37765999999999</v>
      </c>
      <c r="K61" s="2">
        <v>1662.0889999999999</v>
      </c>
    </row>
    <row r="62" spans="4:11" x14ac:dyDescent="0.3">
      <c r="E62" s="2">
        <v>2352.471</v>
      </c>
      <c r="K62" s="2">
        <v>1698.0889999999999</v>
      </c>
    </row>
    <row r="63" spans="4:11" x14ac:dyDescent="0.3">
      <c r="E63" s="2">
        <v>1644.2159999999999</v>
      </c>
      <c r="K63" s="2">
        <v>1772.3409999999999</v>
      </c>
    </row>
    <row r="64" spans="4:11" x14ac:dyDescent="0.3">
      <c r="E64" s="2">
        <v>1898.6869999999999</v>
      </c>
      <c r="K64" s="2">
        <v>1846.6110000000001</v>
      </c>
    </row>
    <row r="65" spans="5:11" x14ac:dyDescent="0.3">
      <c r="E65" s="2">
        <v>1591.172</v>
      </c>
      <c r="K65" s="2">
        <v>1477.4</v>
      </c>
    </row>
    <row r="66" spans="5:11" x14ac:dyDescent="0.3">
      <c r="K66" s="2">
        <v>1975.4259999999999</v>
      </c>
    </row>
    <row r="67" spans="5:11" x14ac:dyDescent="0.3">
      <c r="K67" s="2">
        <v>1495.779</v>
      </c>
    </row>
    <row r="68" spans="5:11" x14ac:dyDescent="0.3">
      <c r="K68" s="2">
        <v>1902.3</v>
      </c>
    </row>
    <row r="69" spans="5:11" x14ac:dyDescent="0.3">
      <c r="K69" s="2">
        <v>1183.124</v>
      </c>
    </row>
    <row r="70" spans="5:11" x14ac:dyDescent="0.3">
      <c r="K70" s="2">
        <v>1362.904</v>
      </c>
    </row>
    <row r="71" spans="5:11" x14ac:dyDescent="0.3">
      <c r="K71" s="2">
        <v>1570.4</v>
      </c>
    </row>
    <row r="72" spans="5:11" x14ac:dyDescent="0.3">
      <c r="K72" s="2">
        <v>1387.0029999999999</v>
      </c>
    </row>
    <row r="73" spans="5:11" x14ac:dyDescent="0.3">
      <c r="K73" s="2">
        <v>1081.1569999999999</v>
      </c>
    </row>
    <row r="74" spans="5:11" x14ac:dyDescent="0.3">
      <c r="K74" s="2">
        <v>1901.931</v>
      </c>
    </row>
    <row r="75" spans="5:11" x14ac:dyDescent="0.3">
      <c r="K75" s="2">
        <v>1257.7449999999999</v>
      </c>
    </row>
    <row r="76" spans="5:11" x14ac:dyDescent="0.3">
      <c r="K76" s="2">
        <v>2012.57</v>
      </c>
    </row>
    <row r="77" spans="5:11" x14ac:dyDescent="0.3">
      <c r="K77" s="2">
        <v>1385.877</v>
      </c>
    </row>
    <row r="78" spans="5:11" x14ac:dyDescent="0.3">
      <c r="K78" s="2">
        <v>1349.877</v>
      </c>
    </row>
    <row r="79" spans="5:11" x14ac:dyDescent="0.3">
      <c r="K79" s="2">
        <v>1717.778</v>
      </c>
    </row>
    <row r="80" spans="5:11" x14ac:dyDescent="0.3">
      <c r="K80" s="2">
        <v>2031.133</v>
      </c>
    </row>
    <row r="81" spans="11:11" x14ac:dyDescent="0.3">
      <c r="K81" s="2">
        <v>1293.0440000000001</v>
      </c>
    </row>
    <row r="82" spans="11:11" x14ac:dyDescent="0.3">
      <c r="K82" s="2">
        <v>1348.7329999999999</v>
      </c>
    </row>
    <row r="83" spans="11:11" x14ac:dyDescent="0.3">
      <c r="K83" s="2">
        <v>1367.296</v>
      </c>
    </row>
    <row r="84" spans="11:11" x14ac:dyDescent="0.3">
      <c r="K84" s="2">
        <v>1459.0039999999999</v>
      </c>
    </row>
    <row r="85" spans="11:11" x14ac:dyDescent="0.3">
      <c r="K85" s="2">
        <v>1798.174</v>
      </c>
    </row>
    <row r="86" spans="11:11" x14ac:dyDescent="0.3">
      <c r="K86" s="2">
        <v>1606.3810000000001</v>
      </c>
    </row>
    <row r="87" spans="11:11" x14ac:dyDescent="0.3">
      <c r="K87" s="2">
        <v>2047.4269999999999</v>
      </c>
    </row>
    <row r="88" spans="11:11" x14ac:dyDescent="0.3">
      <c r="K88" s="2">
        <v>1789.778</v>
      </c>
    </row>
    <row r="89" spans="11:11" x14ac:dyDescent="0.3">
      <c r="K89" s="2">
        <v>1421.8589999999999</v>
      </c>
    </row>
    <row r="90" spans="11:11" x14ac:dyDescent="0.3">
      <c r="K90" s="2">
        <v>1938.3</v>
      </c>
    </row>
    <row r="91" spans="11:11" x14ac:dyDescent="0.3">
      <c r="K91" s="2">
        <v>1699.2149999999999</v>
      </c>
    </row>
    <row r="92" spans="11:11" x14ac:dyDescent="0.3">
      <c r="K92" s="2">
        <v>1661.9780000000001</v>
      </c>
    </row>
    <row r="93" spans="11:11" x14ac:dyDescent="0.3">
      <c r="K93" s="2">
        <v>1736.3409999999999</v>
      </c>
    </row>
    <row r="94" spans="11:11" x14ac:dyDescent="0.3">
      <c r="K94" s="2">
        <v>1405.3440000000001</v>
      </c>
    </row>
    <row r="95" spans="11:11" x14ac:dyDescent="0.3">
      <c r="K95" s="2">
        <v>1324.856</v>
      </c>
    </row>
    <row r="96" spans="11:11" x14ac:dyDescent="0.3">
      <c r="K96" s="2">
        <v>1883.7370000000001</v>
      </c>
    </row>
    <row r="97" spans="11:11" x14ac:dyDescent="0.3">
      <c r="K97" s="2">
        <v>1219.9179999999999</v>
      </c>
    </row>
    <row r="98" spans="11:11" x14ac:dyDescent="0.3">
      <c r="K98" s="2">
        <v>1569.182</v>
      </c>
    </row>
    <row r="99" spans="11:11" x14ac:dyDescent="0.3">
      <c r="K99" s="2">
        <v>1071.3779999999999</v>
      </c>
    </row>
    <row r="100" spans="11:11" x14ac:dyDescent="0.3">
      <c r="K100" s="2">
        <v>1108.5219999999999</v>
      </c>
    </row>
    <row r="101" spans="11:11" x14ac:dyDescent="0.3">
      <c r="K101" s="2">
        <v>1257.0440000000001</v>
      </c>
    </row>
    <row r="102" spans="11:11" x14ac:dyDescent="0.3">
      <c r="K102" s="2">
        <v>1312.068</v>
      </c>
    </row>
    <row r="103" spans="11:11" x14ac:dyDescent="0.3">
      <c r="K103" s="2">
        <v>1145.6479999999999</v>
      </c>
    </row>
    <row r="104" spans="11:11" x14ac:dyDescent="0.3">
      <c r="K104" s="2">
        <v>1680.652</v>
      </c>
    </row>
    <row r="105" spans="11:11" x14ac:dyDescent="0.3">
      <c r="K105" s="2">
        <v>2105.3850000000002</v>
      </c>
    </row>
    <row r="106" spans="11:11" x14ac:dyDescent="0.3">
      <c r="K106" s="2">
        <v>1238.481</v>
      </c>
    </row>
    <row r="107" spans="11:11" x14ac:dyDescent="0.3">
      <c r="K107" s="2">
        <v>1127.085</v>
      </c>
    </row>
    <row r="108" spans="11:11" x14ac:dyDescent="0.3">
      <c r="K108" s="2">
        <v>1786.0509999999999</v>
      </c>
    </row>
    <row r="109" spans="11:11" x14ac:dyDescent="0.3">
      <c r="K109" s="2">
        <v>1515.836</v>
      </c>
    </row>
    <row r="110" spans="11:11" x14ac:dyDescent="0.3">
      <c r="K110" s="2">
        <v>1920.8630000000001</v>
      </c>
    </row>
    <row r="111" spans="11:11" x14ac:dyDescent="0.3">
      <c r="K111" s="2">
        <v>1570.4369999999999</v>
      </c>
    </row>
    <row r="112" spans="11:11" x14ac:dyDescent="0.3">
      <c r="K112" s="2">
        <v>1089.9590000000001</v>
      </c>
    </row>
    <row r="113" spans="11:11" x14ac:dyDescent="0.3">
      <c r="K113" s="2">
        <v>2086.8220000000001</v>
      </c>
    </row>
    <row r="114" spans="11:11" x14ac:dyDescent="0.3">
      <c r="K114" s="2">
        <v>1275.607</v>
      </c>
    </row>
    <row r="115" spans="11:11" x14ac:dyDescent="0.3">
      <c r="K115" s="2">
        <v>1182.7739999999999</v>
      </c>
    </row>
    <row r="116" spans="11:11" x14ac:dyDescent="0.3">
      <c r="K116" s="2">
        <v>1462.5830000000001</v>
      </c>
    </row>
    <row r="117" spans="11:11" x14ac:dyDescent="0.3">
      <c r="K117" s="2">
        <v>1331.3140000000001</v>
      </c>
    </row>
    <row r="118" spans="11:11" x14ac:dyDescent="0.3">
      <c r="K118" s="2">
        <v>1681.796</v>
      </c>
    </row>
    <row r="119" spans="11:11" x14ac:dyDescent="0.3">
      <c r="K119" s="2">
        <v>1164.211</v>
      </c>
    </row>
    <row r="120" spans="11:11" x14ac:dyDescent="0.3">
      <c r="K120" s="2">
        <v>1201.355</v>
      </c>
    </row>
    <row r="121" spans="11:11" x14ac:dyDescent="0.3">
      <c r="K121" s="2">
        <v>1737.4849999999999</v>
      </c>
    </row>
    <row r="122" spans="11:11" x14ac:dyDescent="0.3">
      <c r="K122" s="2">
        <v>1479.836</v>
      </c>
    </row>
    <row r="123" spans="11:11" x14ac:dyDescent="0.3">
      <c r="K123" s="2">
        <v>1405.566</v>
      </c>
    </row>
    <row r="124" spans="11:11" x14ac:dyDescent="0.3">
      <c r="K124" s="2">
        <v>1368.44</v>
      </c>
    </row>
    <row r="125" spans="11:11" x14ac:dyDescent="0.3">
      <c r="K125" s="2">
        <v>1293.616</v>
      </c>
    </row>
    <row r="126" spans="11:11" x14ac:dyDescent="0.3">
      <c r="K126" s="2">
        <v>870.66139999999996</v>
      </c>
    </row>
    <row r="127" spans="11:11" x14ac:dyDescent="0.3">
      <c r="K127" s="2">
        <v>994.6191</v>
      </c>
    </row>
    <row r="128" spans="11:11" x14ac:dyDescent="0.3">
      <c r="K128" s="2">
        <v>910.27809999999999</v>
      </c>
    </row>
    <row r="129" spans="1:29" x14ac:dyDescent="0.3">
      <c r="K129" s="2">
        <v>854.6182</v>
      </c>
    </row>
    <row r="130" spans="1:29" x14ac:dyDescent="0.3">
      <c r="K130" s="2">
        <v>953.75819999999999</v>
      </c>
    </row>
    <row r="131" spans="1:29" x14ac:dyDescent="0.3">
      <c r="K131" s="2">
        <v>986.01909999999998</v>
      </c>
    </row>
    <row r="132" spans="1:29" x14ac:dyDescent="0.3">
      <c r="K132" s="2">
        <v>897.64</v>
      </c>
    </row>
    <row r="133" spans="1:29" x14ac:dyDescent="0.3">
      <c r="K133" s="2">
        <v>914.33799999999997</v>
      </c>
    </row>
    <row r="138" spans="1:29" ht="13.9" x14ac:dyDescent="0.3">
      <c r="A138" s="16" t="s">
        <v>151</v>
      </c>
      <c r="D138" s="21" t="s">
        <v>3</v>
      </c>
      <c r="E138" s="21"/>
      <c r="G138" s="21" t="s">
        <v>6</v>
      </c>
      <c r="H138" s="21"/>
      <c r="J138" s="21" t="s">
        <v>5</v>
      </c>
      <c r="K138" s="21"/>
      <c r="M138" s="21" t="s">
        <v>3</v>
      </c>
      <c r="N138" s="21"/>
      <c r="P138" s="21" t="s">
        <v>6</v>
      </c>
      <c r="Q138" s="21"/>
      <c r="S138" s="21" t="s">
        <v>5</v>
      </c>
      <c r="T138" s="21"/>
      <c r="V138" s="21" t="s">
        <v>3</v>
      </c>
      <c r="W138" s="21"/>
      <c r="Y138" s="21" t="s">
        <v>6</v>
      </c>
      <c r="Z138" s="21"/>
      <c r="AB138" s="21" t="s">
        <v>5</v>
      </c>
      <c r="AC138" s="21"/>
    </row>
    <row r="139" spans="1:29" x14ac:dyDescent="0.3">
      <c r="D139" s="2" t="s">
        <v>50</v>
      </c>
      <c r="E139" s="2" t="s">
        <v>51</v>
      </c>
      <c r="G139" s="2" t="s">
        <v>50</v>
      </c>
      <c r="H139" s="2" t="s">
        <v>51</v>
      </c>
      <c r="J139" s="2" t="s">
        <v>50</v>
      </c>
      <c r="K139" s="2" t="s">
        <v>51</v>
      </c>
      <c r="M139" s="2" t="s">
        <v>50</v>
      </c>
      <c r="N139" s="2" t="s">
        <v>52</v>
      </c>
      <c r="P139" s="2" t="s">
        <v>50</v>
      </c>
      <c r="Q139" s="2" t="s">
        <v>52</v>
      </c>
      <c r="S139" s="2" t="s">
        <v>50</v>
      </c>
      <c r="T139" s="2" t="s">
        <v>52</v>
      </c>
      <c r="V139" s="2" t="s">
        <v>51</v>
      </c>
      <c r="W139" s="2" t="s">
        <v>52</v>
      </c>
      <c r="Y139" s="2" t="s">
        <v>51</v>
      </c>
      <c r="Z139" s="2" t="s">
        <v>52</v>
      </c>
      <c r="AB139" s="2" t="s">
        <v>51</v>
      </c>
      <c r="AC139" s="2" t="s">
        <v>52</v>
      </c>
    </row>
    <row r="140" spans="1:29" x14ac:dyDescent="0.3">
      <c r="D140" s="2">
        <v>1119.7906559999999</v>
      </c>
      <c r="E140" s="2">
        <v>1035.8900000000001</v>
      </c>
      <c r="G140" s="2">
        <v>1266.1025440000001</v>
      </c>
      <c r="H140" s="2">
        <v>1458.05825</v>
      </c>
      <c r="J140" s="2">
        <v>1265.394454</v>
      </c>
      <c r="K140" s="2">
        <v>1206.136405</v>
      </c>
      <c r="M140" s="2">
        <v>1119.7906559999999</v>
      </c>
      <c r="N140" s="2">
        <v>11.8273951</v>
      </c>
      <c r="P140" s="2">
        <v>1266.1025440000001</v>
      </c>
      <c r="Q140" s="2">
        <v>14.5596868</v>
      </c>
      <c r="S140" s="2">
        <v>1265.394454</v>
      </c>
      <c r="T140" s="2">
        <v>10.507282200000001</v>
      </c>
      <c r="V140" s="2">
        <v>1035.8900000000001</v>
      </c>
      <c r="W140" s="2">
        <v>11.8273951</v>
      </c>
      <c r="Y140" s="2">
        <v>1458.05825</v>
      </c>
      <c r="Z140" s="2">
        <v>14.5596868</v>
      </c>
      <c r="AB140" s="2">
        <v>1206.136</v>
      </c>
      <c r="AC140" s="2">
        <v>10.507282200000001</v>
      </c>
    </row>
    <row r="141" spans="1:29" x14ac:dyDescent="0.3">
      <c r="D141" s="2">
        <v>822.91136630000005</v>
      </c>
      <c r="E141" s="2">
        <v>740.31779080000001</v>
      </c>
      <c r="G141" s="2">
        <v>897.01679330000002</v>
      </c>
      <c r="H141" s="2">
        <v>999.6982246</v>
      </c>
      <c r="J141" s="2">
        <v>1899.6659709999999</v>
      </c>
      <c r="K141" s="2">
        <v>1369.17292</v>
      </c>
      <c r="M141" s="2">
        <v>822.91136630000005</v>
      </c>
      <c r="N141" s="2">
        <v>6.3690844200000001</v>
      </c>
      <c r="P141" s="2">
        <v>897.01679330000002</v>
      </c>
      <c r="Q141" s="2">
        <v>8.4930149900000007</v>
      </c>
      <c r="S141" s="2">
        <v>1899.6659709999999</v>
      </c>
      <c r="T141" s="2">
        <v>18.416410299999999</v>
      </c>
      <c r="V141" s="2">
        <v>740.31779100000006</v>
      </c>
      <c r="W141" s="2">
        <v>6.3690844200000001</v>
      </c>
      <c r="Y141" s="2">
        <v>999.69822499999998</v>
      </c>
      <c r="Z141" s="2">
        <v>8.4930149900000007</v>
      </c>
      <c r="AB141" s="2">
        <v>1369.173</v>
      </c>
      <c r="AC141" s="2">
        <v>18.416410290000002</v>
      </c>
    </row>
    <row r="142" spans="1:29" x14ac:dyDescent="0.3">
      <c r="D142" s="2">
        <v>867.89169030000005</v>
      </c>
      <c r="E142" s="2">
        <v>634.79935020000005</v>
      </c>
      <c r="G142" s="2">
        <v>1423.808227</v>
      </c>
      <c r="H142" s="2">
        <v>1631.573396</v>
      </c>
      <c r="J142" s="2">
        <v>1717.336712</v>
      </c>
      <c r="K142" s="2">
        <v>1372.170083</v>
      </c>
      <c r="M142" s="2">
        <v>867.89169030000005</v>
      </c>
      <c r="N142" s="2">
        <v>11.248700100000001</v>
      </c>
      <c r="P142" s="2">
        <v>1423.808227</v>
      </c>
      <c r="Q142" s="2">
        <v>17.235882700000001</v>
      </c>
      <c r="S142" s="2">
        <v>1717.336712</v>
      </c>
      <c r="T142" s="2">
        <v>16.143344800000001</v>
      </c>
      <c r="V142" s="2">
        <v>634.79935</v>
      </c>
      <c r="W142" s="2">
        <v>11.248700100000001</v>
      </c>
      <c r="Y142" s="2">
        <v>1631.5734</v>
      </c>
      <c r="Z142" s="2">
        <v>17.235882700000001</v>
      </c>
      <c r="AB142" s="2">
        <v>1372.17</v>
      </c>
      <c r="AC142" s="2">
        <v>16.143344849999998</v>
      </c>
    </row>
    <row r="143" spans="1:29" x14ac:dyDescent="0.3">
      <c r="D143" s="2">
        <v>685.93415389999996</v>
      </c>
      <c r="E143" s="2">
        <v>1185.293539</v>
      </c>
      <c r="G143" s="2">
        <v>1640.793676</v>
      </c>
      <c r="H143" s="2">
        <v>1528.0911960000001</v>
      </c>
      <c r="J143" s="2">
        <v>1734.5105550000001</v>
      </c>
      <c r="K143" s="2">
        <v>1523.6526490000001</v>
      </c>
      <c r="M143" s="2">
        <v>685.93415389999996</v>
      </c>
      <c r="N143" s="2">
        <v>8.6170336699999996</v>
      </c>
      <c r="P143" s="2">
        <v>1640.793676</v>
      </c>
      <c r="Q143" s="2">
        <v>16.966874700000002</v>
      </c>
      <c r="S143" s="2">
        <v>1734.5105550000001</v>
      </c>
      <c r="T143" s="2">
        <v>16.356800100000001</v>
      </c>
      <c r="V143" s="2">
        <v>1185.2935399999999</v>
      </c>
      <c r="W143" s="2">
        <v>8.6170336699999996</v>
      </c>
      <c r="Y143" s="2">
        <v>1528.0912000000001</v>
      </c>
      <c r="Z143" s="2">
        <v>16.966874700000002</v>
      </c>
      <c r="AB143" s="2">
        <v>1523.653</v>
      </c>
      <c r="AC143" s="2">
        <v>16.356800109999998</v>
      </c>
    </row>
    <row r="144" spans="1:29" x14ac:dyDescent="0.3">
      <c r="D144" s="2">
        <v>2528.9899999999998</v>
      </c>
      <c r="E144" s="2">
        <v>1746.952732</v>
      </c>
      <c r="G144" s="2">
        <v>1669.163769</v>
      </c>
      <c r="H144" s="2">
        <v>1349.5197680000001</v>
      </c>
      <c r="J144" s="2">
        <v>1825.7658590000001</v>
      </c>
      <c r="K144" s="2">
        <v>1877.27</v>
      </c>
      <c r="M144" s="2">
        <v>2528.9899999999998</v>
      </c>
      <c r="N144" s="2">
        <v>16.925618700000001</v>
      </c>
      <c r="P144" s="2">
        <v>1669.163769</v>
      </c>
      <c r="Q144" s="2">
        <v>16.520089299999999</v>
      </c>
      <c r="S144" s="2">
        <v>1825.7658590000001</v>
      </c>
      <c r="T144" s="2">
        <v>19.503876999999999</v>
      </c>
      <c r="V144" s="2">
        <v>1746.95273</v>
      </c>
      <c r="W144" s="2">
        <v>16.925619000000001</v>
      </c>
      <c r="Y144" s="2">
        <v>1349.5197700000001</v>
      </c>
      <c r="Z144" s="2">
        <v>16.520089299999999</v>
      </c>
      <c r="AB144" s="2">
        <v>1877.2719999999999</v>
      </c>
      <c r="AC144" s="2">
        <v>19.503876980000001</v>
      </c>
    </row>
    <row r="145" spans="4:29" x14ac:dyDescent="0.3">
      <c r="D145" s="2">
        <v>2017.88</v>
      </c>
      <c r="E145" s="2">
        <v>1547.4698000000001</v>
      </c>
      <c r="G145" s="2">
        <v>1385.01</v>
      </c>
      <c r="H145" s="2">
        <v>1383.2206920000001</v>
      </c>
      <c r="J145" s="2">
        <v>2115.9258100000002</v>
      </c>
      <c r="K145" s="2">
        <v>1453.89</v>
      </c>
      <c r="M145" s="2">
        <v>2017.88</v>
      </c>
      <c r="N145" s="2">
        <v>18.2151739</v>
      </c>
      <c r="P145" s="2">
        <v>1385.01</v>
      </c>
      <c r="Q145" s="2">
        <v>13.756522</v>
      </c>
      <c r="S145" s="2">
        <v>2115.9258100000002</v>
      </c>
      <c r="T145" s="2">
        <v>22.0195407</v>
      </c>
      <c r="V145" s="2">
        <v>1547.4698000000001</v>
      </c>
      <c r="W145" s="2">
        <v>18.2151739</v>
      </c>
      <c r="Y145" s="2">
        <v>1383.2206900000001</v>
      </c>
      <c r="Z145" s="2">
        <v>13.756522</v>
      </c>
      <c r="AB145" s="2">
        <v>1453.894</v>
      </c>
      <c r="AC145" s="2">
        <v>22.019540689999999</v>
      </c>
    </row>
    <row r="146" spans="4:29" x14ac:dyDescent="0.3">
      <c r="D146" s="2">
        <v>3069.54</v>
      </c>
      <c r="E146" s="2">
        <v>2602.0593480000002</v>
      </c>
      <c r="G146" s="2">
        <v>1709.1564470000001</v>
      </c>
      <c r="H146" s="2">
        <v>1695.25</v>
      </c>
      <c r="J146" s="2">
        <v>1574.396667</v>
      </c>
      <c r="K146" s="2">
        <v>1214.08</v>
      </c>
      <c r="M146" s="2">
        <v>3069.54</v>
      </c>
      <c r="N146" s="2">
        <v>21.181281999999999</v>
      </c>
      <c r="P146" s="2">
        <v>1709.1564470000001</v>
      </c>
      <c r="Q146" s="2">
        <v>17.872691</v>
      </c>
      <c r="S146" s="2">
        <v>1574.396667</v>
      </c>
      <c r="T146" s="2">
        <v>14.7704086</v>
      </c>
      <c r="V146" s="2">
        <v>2602.05935</v>
      </c>
      <c r="W146" s="2">
        <v>21.181281999999999</v>
      </c>
      <c r="Y146" s="2">
        <v>1695.24595</v>
      </c>
      <c r="Z146" s="2">
        <v>17.872691</v>
      </c>
      <c r="AB146" s="2">
        <v>1214.075</v>
      </c>
      <c r="AC146" s="2">
        <v>14.770408570000001</v>
      </c>
    </row>
    <row r="147" spans="4:29" x14ac:dyDescent="0.3">
      <c r="D147" s="2">
        <v>2371.02</v>
      </c>
      <c r="E147" s="2">
        <v>1894.7975200000001</v>
      </c>
      <c r="G147" s="2">
        <v>1267.360895</v>
      </c>
      <c r="H147" s="2">
        <v>1413.4668710000001</v>
      </c>
      <c r="J147" s="2">
        <v>1662.351402</v>
      </c>
      <c r="K147" s="2">
        <v>1689.09</v>
      </c>
      <c r="M147" s="2">
        <v>2371.02</v>
      </c>
      <c r="N147" s="2">
        <v>16.0774747</v>
      </c>
      <c r="P147" s="2">
        <v>1267.360895</v>
      </c>
      <c r="Q147" s="2">
        <v>14.6771648</v>
      </c>
      <c r="S147" s="2">
        <v>1662.351402</v>
      </c>
      <c r="T147" s="2">
        <v>16.930773800000001</v>
      </c>
      <c r="V147" s="2">
        <v>1894.7975200000001</v>
      </c>
      <c r="W147" s="2">
        <v>16.0774747</v>
      </c>
      <c r="Y147" s="2">
        <v>1413.46687</v>
      </c>
      <c r="Z147" s="2">
        <v>14.6771648</v>
      </c>
      <c r="AB147" s="2">
        <v>1689.0909999999999</v>
      </c>
      <c r="AC147" s="2">
        <v>16.930773779999999</v>
      </c>
    </row>
    <row r="148" spans="4:29" x14ac:dyDescent="0.3">
      <c r="D148" s="2">
        <v>2160.48</v>
      </c>
      <c r="E148" s="2">
        <v>1497.067127</v>
      </c>
      <c r="G148" s="2">
        <v>1280.2189530000001</v>
      </c>
      <c r="H148" s="2">
        <v>1349.245218</v>
      </c>
      <c r="J148" s="2">
        <v>1483.7216820000001</v>
      </c>
      <c r="K148" s="2">
        <v>1428.06</v>
      </c>
      <c r="M148" s="2">
        <v>2160.48</v>
      </c>
      <c r="N148" s="2">
        <v>14.369511299999999</v>
      </c>
      <c r="P148" s="2">
        <v>1280.2189530000001</v>
      </c>
      <c r="Q148" s="2">
        <v>11.8817799</v>
      </c>
      <c r="S148" s="2">
        <v>1483.7216820000001</v>
      </c>
      <c r="T148" s="2">
        <v>16.194078399999999</v>
      </c>
      <c r="V148" s="2">
        <v>1497.0671299999999</v>
      </c>
      <c r="W148" s="2">
        <v>14.369511299999999</v>
      </c>
      <c r="Y148" s="2">
        <v>1349.24522</v>
      </c>
      <c r="Z148" s="2">
        <v>11.8817799</v>
      </c>
      <c r="AB148" s="2">
        <v>1428.0640000000001</v>
      </c>
      <c r="AC148" s="2">
        <v>16.194078449999999</v>
      </c>
    </row>
    <row r="149" spans="4:29" x14ac:dyDescent="0.3">
      <c r="D149" s="2">
        <v>2336.1999999999998</v>
      </c>
      <c r="E149" s="2">
        <v>1424.220051</v>
      </c>
      <c r="G149" s="2">
        <v>1288.8672549999999</v>
      </c>
      <c r="H149" s="2">
        <v>1404.8414479999999</v>
      </c>
      <c r="J149" s="2">
        <v>1128.93</v>
      </c>
      <c r="K149" s="2">
        <v>1182</v>
      </c>
      <c r="M149" s="2">
        <v>2336.1999999999998</v>
      </c>
      <c r="N149" s="2">
        <v>16.709595700000001</v>
      </c>
      <c r="P149" s="2">
        <v>1288.8672549999999</v>
      </c>
      <c r="Q149" s="2">
        <v>10.1972801</v>
      </c>
      <c r="S149" s="2">
        <v>1128.93</v>
      </c>
      <c r="T149" s="2">
        <v>17.7467945</v>
      </c>
      <c r="V149" s="2">
        <v>1424.2200499999999</v>
      </c>
      <c r="W149" s="2">
        <v>16.709595700000001</v>
      </c>
      <c r="Y149" s="2">
        <v>1404.8414499999999</v>
      </c>
      <c r="Z149" s="2">
        <v>10.1972801</v>
      </c>
      <c r="AB149" s="2">
        <v>1181.999</v>
      </c>
      <c r="AC149" s="2">
        <v>17.746794479999998</v>
      </c>
    </row>
    <row r="150" spans="4:29" x14ac:dyDescent="0.3">
      <c r="D150" s="2">
        <v>2142.09</v>
      </c>
      <c r="E150" s="2">
        <v>1367.8230530000001</v>
      </c>
      <c r="J150" s="2">
        <v>1403.9821010000001</v>
      </c>
      <c r="K150" s="2">
        <v>1301.016061</v>
      </c>
      <c r="M150" s="2">
        <v>2142.09</v>
      </c>
      <c r="N150" s="2">
        <v>15.4789344</v>
      </c>
      <c r="S150" s="2">
        <v>1403.9821010000001</v>
      </c>
      <c r="T150" s="2">
        <v>14.291752000000001</v>
      </c>
      <c r="V150" s="2">
        <v>1367.82305</v>
      </c>
      <c r="W150" s="2">
        <v>15.4789344</v>
      </c>
      <c r="AB150" s="2">
        <v>1301.0160000000001</v>
      </c>
      <c r="AC150" s="2">
        <v>14.29175197</v>
      </c>
    </row>
    <row r="151" spans="4:29" x14ac:dyDescent="0.3">
      <c r="D151" s="2">
        <v>2005.25</v>
      </c>
      <c r="E151" s="2">
        <v>1337.370962</v>
      </c>
      <c r="J151" s="2">
        <v>1255.9000000000001</v>
      </c>
      <c r="K151" s="2">
        <v>1173.9226229999999</v>
      </c>
      <c r="M151" s="2">
        <v>2005.25</v>
      </c>
      <c r="N151" s="2">
        <v>18.575805800000001</v>
      </c>
      <c r="S151" s="2">
        <v>1255.9000000000001</v>
      </c>
      <c r="T151" s="2">
        <v>18.178185500000001</v>
      </c>
      <c r="V151" s="2">
        <v>1337.37096</v>
      </c>
      <c r="W151" s="2">
        <v>18.575805800000001</v>
      </c>
      <c r="AB151" s="2">
        <v>1173.923</v>
      </c>
      <c r="AC151" s="2">
        <v>18.178185500000001</v>
      </c>
    </row>
    <row r="152" spans="4:29" x14ac:dyDescent="0.3">
      <c r="D152" s="2">
        <v>1644.2164049999999</v>
      </c>
      <c r="E152" s="2">
        <v>1573.7350140000001</v>
      </c>
      <c r="J152" s="2">
        <v>1477.4</v>
      </c>
      <c r="K152" s="2">
        <v>1105.35394</v>
      </c>
      <c r="M152" s="2">
        <v>1644.2164049999999</v>
      </c>
      <c r="N152" s="2">
        <v>9.0259151899999992</v>
      </c>
      <c r="S152" s="2">
        <v>1477.4</v>
      </c>
      <c r="T152" s="2">
        <v>13.299651900000001</v>
      </c>
      <c r="V152" s="2">
        <v>1573.7350100000001</v>
      </c>
      <c r="W152" s="2">
        <v>9.0259151899999992</v>
      </c>
      <c r="AB152" s="2">
        <v>1105.354</v>
      </c>
      <c r="AC152" s="2">
        <v>13.299651860000001</v>
      </c>
    </row>
    <row r="153" spans="4:29" x14ac:dyDescent="0.3">
      <c r="J153" s="2">
        <v>1698.09</v>
      </c>
      <c r="K153" s="2">
        <v>1225.286218</v>
      </c>
      <c r="S153" s="2">
        <v>1698.09</v>
      </c>
      <c r="T153" s="2">
        <v>16.827774900000001</v>
      </c>
      <c r="AB153" s="2">
        <v>1225.2860000000001</v>
      </c>
      <c r="AC153" s="2">
        <v>16.827774890000001</v>
      </c>
    </row>
    <row r="154" spans="4:29" x14ac:dyDescent="0.3">
      <c r="J154" s="2">
        <v>2012.57</v>
      </c>
      <c r="K154" s="2">
        <v>1941.4022600000001</v>
      </c>
      <c r="S154" s="2">
        <v>2012.57</v>
      </c>
      <c r="T154" s="2">
        <v>20.118082600000001</v>
      </c>
      <c r="AB154" s="2">
        <v>1941.402</v>
      </c>
      <c r="AC154" s="2">
        <v>20.118082609999998</v>
      </c>
    </row>
    <row r="155" spans="4:29" x14ac:dyDescent="0.3">
      <c r="J155" s="2">
        <v>1349.88</v>
      </c>
      <c r="K155" s="2">
        <v>935.45369270000003</v>
      </c>
      <c r="S155" s="2">
        <v>1349.88</v>
      </c>
      <c r="T155" s="2">
        <v>11.6467885</v>
      </c>
      <c r="AB155" s="2">
        <v>935.45370000000003</v>
      </c>
      <c r="AC155" s="2">
        <v>11.646788539999999</v>
      </c>
    </row>
    <row r="156" spans="4:29" x14ac:dyDescent="0.3">
      <c r="J156" s="2">
        <v>1717.78</v>
      </c>
      <c r="K156" s="2">
        <v>1459.9800949999999</v>
      </c>
      <c r="S156" s="2">
        <v>1717.78</v>
      </c>
      <c r="T156" s="2">
        <v>17.589850999999999</v>
      </c>
      <c r="AB156" s="2">
        <v>1459.98</v>
      </c>
      <c r="AC156" s="2">
        <v>17.589850949999999</v>
      </c>
    </row>
    <row r="157" spans="4:29" x14ac:dyDescent="0.3">
      <c r="J157" s="2">
        <v>1553.7409050000001</v>
      </c>
      <c r="K157" s="2">
        <v>1268.5506089999999</v>
      </c>
      <c r="S157" s="2">
        <v>1553.7409050000001</v>
      </c>
      <c r="T157" s="2">
        <v>14.5108379</v>
      </c>
      <c r="AB157" s="2">
        <v>1268.5509999999999</v>
      </c>
      <c r="AC157" s="2">
        <v>14.510837929999999</v>
      </c>
    </row>
    <row r="158" spans="4:29" x14ac:dyDescent="0.3">
      <c r="J158" s="2">
        <v>2047.43</v>
      </c>
      <c r="K158" s="2">
        <v>2058.085705</v>
      </c>
      <c r="S158" s="2">
        <v>2047.43</v>
      </c>
      <c r="T158" s="2">
        <v>19.965310599999999</v>
      </c>
      <c r="AB158" s="2">
        <v>2058.0859999999998</v>
      </c>
      <c r="AC158" s="2">
        <v>19.965310630000001</v>
      </c>
    </row>
    <row r="159" spans="4:29" x14ac:dyDescent="0.3">
      <c r="J159" s="2">
        <v>1348.73</v>
      </c>
      <c r="K159" s="2">
        <v>1129.3083650000001</v>
      </c>
      <c r="S159" s="2">
        <v>1348.73</v>
      </c>
      <c r="T159" s="2">
        <v>10.917304</v>
      </c>
      <c r="AB159" s="2">
        <v>1129.308</v>
      </c>
      <c r="AC159" s="2">
        <v>10.917304010000001</v>
      </c>
    </row>
    <row r="160" spans="4:29" x14ac:dyDescent="0.3">
      <c r="J160" s="2">
        <v>1367.3</v>
      </c>
      <c r="K160" s="2">
        <v>1223.8677130000001</v>
      </c>
      <c r="S160" s="2">
        <v>1367.3</v>
      </c>
      <c r="T160" s="2">
        <v>13.002916799999999</v>
      </c>
      <c r="AB160" s="2">
        <v>1223.8679999999999</v>
      </c>
      <c r="AC160" s="2">
        <v>13.002916839999999</v>
      </c>
    </row>
    <row r="161" spans="10:29" x14ac:dyDescent="0.3">
      <c r="J161" s="2">
        <v>1789.78</v>
      </c>
      <c r="K161" s="2">
        <v>1749.0576100000001</v>
      </c>
      <c r="S161" s="2">
        <v>1789.78</v>
      </c>
      <c r="T161" s="2">
        <v>16.884397400000001</v>
      </c>
      <c r="AB161" s="2">
        <v>1749.058</v>
      </c>
      <c r="AC161" s="2">
        <v>16.884397360000001</v>
      </c>
    </row>
    <row r="162" spans="10:29" x14ac:dyDescent="0.3">
      <c r="J162" s="2">
        <v>1661.98</v>
      </c>
      <c r="K162" s="2">
        <v>1437.123867</v>
      </c>
      <c r="S162" s="2">
        <v>1661.98</v>
      </c>
      <c r="T162" s="2">
        <v>18.480113100000001</v>
      </c>
      <c r="AB162" s="2">
        <v>1437.124</v>
      </c>
      <c r="AC162" s="2">
        <v>18.480113119999999</v>
      </c>
    </row>
    <row r="163" spans="10:29" x14ac:dyDescent="0.3">
      <c r="J163" s="2">
        <v>1736.34</v>
      </c>
      <c r="K163" s="2">
        <v>1684.309737</v>
      </c>
      <c r="S163" s="2">
        <v>1736.34</v>
      </c>
      <c r="T163" s="2">
        <v>16.678813900000002</v>
      </c>
      <c r="AB163" s="2">
        <v>1684.31</v>
      </c>
      <c r="AC163" s="2">
        <v>16.678813909999999</v>
      </c>
    </row>
    <row r="164" spans="10:29" x14ac:dyDescent="0.3">
      <c r="J164" s="2">
        <v>1901.93</v>
      </c>
      <c r="K164" s="2">
        <v>1871.7353800000001</v>
      </c>
      <c r="S164" s="2">
        <v>1901.93</v>
      </c>
      <c r="T164" s="2">
        <v>24.703878400000001</v>
      </c>
      <c r="AB164" s="2">
        <v>1871.7349999999999</v>
      </c>
      <c r="AC164" s="2">
        <v>24.703878360000001</v>
      </c>
    </row>
    <row r="165" spans="10:29" x14ac:dyDescent="0.3">
      <c r="J165" s="2">
        <v>1257.75</v>
      </c>
      <c r="K165" s="2">
        <v>1090.9858610000001</v>
      </c>
      <c r="S165" s="2">
        <v>1257.75</v>
      </c>
      <c r="T165" s="2">
        <v>11.732446700000001</v>
      </c>
      <c r="AB165" s="2">
        <v>1090.9860000000001</v>
      </c>
      <c r="AC165" s="2">
        <v>11.73244665</v>
      </c>
    </row>
    <row r="166" spans="10:29" x14ac:dyDescent="0.3">
      <c r="J166" s="2">
        <v>1312.07</v>
      </c>
      <c r="K166" s="2">
        <v>1401.4782190000001</v>
      </c>
      <c r="S166" s="2">
        <v>1312.07</v>
      </c>
      <c r="T166" s="2">
        <v>12.4215093</v>
      </c>
      <c r="AB166" s="2">
        <v>1401.4780000000001</v>
      </c>
      <c r="AC166" s="2">
        <v>12.421509309999999</v>
      </c>
    </row>
    <row r="167" spans="10:29" x14ac:dyDescent="0.3">
      <c r="J167" s="2">
        <v>1883.74</v>
      </c>
      <c r="K167" s="2">
        <v>1452.2011990000001</v>
      </c>
      <c r="S167" s="2">
        <v>1883.74</v>
      </c>
      <c r="T167" s="2">
        <v>18.363381100000002</v>
      </c>
      <c r="AB167" s="2">
        <v>1452.201</v>
      </c>
      <c r="AC167" s="2">
        <v>18.363381140000001</v>
      </c>
    </row>
    <row r="168" spans="10:29" x14ac:dyDescent="0.3">
      <c r="J168" s="2">
        <v>1680.65</v>
      </c>
      <c r="K168" s="2">
        <v>1543.1456479999999</v>
      </c>
      <c r="S168" s="2">
        <v>1680.65</v>
      </c>
      <c r="T168" s="2">
        <v>17.220323400000002</v>
      </c>
      <c r="AB168" s="2">
        <v>1543.146</v>
      </c>
      <c r="AC168" s="2">
        <v>17.220323430000001</v>
      </c>
    </row>
    <row r="169" spans="10:29" x14ac:dyDescent="0.3">
      <c r="J169" s="2">
        <v>1238.48</v>
      </c>
      <c r="K169" s="2">
        <v>1062.6844060000001</v>
      </c>
      <c r="S169" s="2">
        <v>1238.48</v>
      </c>
      <c r="T169" s="2">
        <v>11.239814300000001</v>
      </c>
      <c r="AB169" s="2">
        <v>1062.684</v>
      </c>
      <c r="AC169" s="2">
        <v>11.23981431</v>
      </c>
    </row>
    <row r="170" spans="10:29" x14ac:dyDescent="0.3">
      <c r="J170" s="2">
        <v>1786.05</v>
      </c>
      <c r="K170" s="2">
        <v>1626.3798389999999</v>
      </c>
      <c r="S170" s="2">
        <v>1786.05</v>
      </c>
      <c r="T170" s="2">
        <v>18.019952</v>
      </c>
      <c r="AB170" s="2">
        <v>1626.38</v>
      </c>
      <c r="AC170" s="2">
        <v>18.019951970000001</v>
      </c>
    </row>
    <row r="171" spans="10:29" x14ac:dyDescent="0.3">
      <c r="J171" s="2">
        <v>1515.84</v>
      </c>
      <c r="K171" s="2">
        <v>1153.8576459999999</v>
      </c>
      <c r="S171" s="2">
        <v>1515.84</v>
      </c>
      <c r="T171" s="2">
        <v>15.0217393</v>
      </c>
      <c r="AB171" s="2">
        <v>1153.8579999999999</v>
      </c>
      <c r="AC171" s="2">
        <v>15.02173934</v>
      </c>
    </row>
    <row r="172" spans="10:29" x14ac:dyDescent="0.3">
      <c r="J172" s="2">
        <v>1495.78</v>
      </c>
      <c r="K172" s="2">
        <v>1234.392102</v>
      </c>
      <c r="S172" s="2">
        <v>1495.78</v>
      </c>
      <c r="T172" s="2">
        <v>9.6382192700000004</v>
      </c>
      <c r="AB172" s="2">
        <v>1234.3920000000001</v>
      </c>
      <c r="AC172" s="2">
        <v>9.6382192730000007</v>
      </c>
    </row>
    <row r="173" spans="10:29" x14ac:dyDescent="0.3">
      <c r="J173" s="2">
        <v>1570.4</v>
      </c>
      <c r="K173" s="2">
        <v>1143.1273450000001</v>
      </c>
      <c r="S173" s="2">
        <v>1570.4</v>
      </c>
      <c r="T173" s="2">
        <v>22.6633684</v>
      </c>
      <c r="AB173" s="2">
        <v>1143.127</v>
      </c>
      <c r="AC173" s="2">
        <v>22.663368370000001</v>
      </c>
    </row>
    <row r="174" spans="10:29" x14ac:dyDescent="0.3">
      <c r="J174" s="2">
        <v>1387</v>
      </c>
      <c r="K174" s="2">
        <v>1174.0141389999999</v>
      </c>
      <c r="S174" s="2">
        <v>1387</v>
      </c>
      <c r="T174" s="2">
        <v>14.637967700000001</v>
      </c>
      <c r="AB174" s="2">
        <v>1174.0139999999999</v>
      </c>
      <c r="AC174" s="2">
        <v>14.63796771</v>
      </c>
    </row>
    <row r="175" spans="10:29" x14ac:dyDescent="0.3">
      <c r="J175" s="2">
        <v>1182.77</v>
      </c>
      <c r="K175" s="2">
        <v>1098.147021</v>
      </c>
      <c r="S175" s="2">
        <v>1182.77</v>
      </c>
      <c r="T175" s="2">
        <v>13.4180843</v>
      </c>
      <c r="AB175" s="2">
        <v>1098.1469999999999</v>
      </c>
      <c r="AC175" s="2">
        <v>13.41808425</v>
      </c>
    </row>
    <row r="176" spans="10:29" x14ac:dyDescent="0.3">
      <c r="J176" s="2">
        <v>1275.6099999999999</v>
      </c>
      <c r="K176" s="2">
        <v>1259.8336690000001</v>
      </c>
      <c r="S176" s="2">
        <v>1275.6099999999999</v>
      </c>
      <c r="T176" s="2">
        <v>14.7163995</v>
      </c>
      <c r="AB176" s="2">
        <v>1259.8340000000001</v>
      </c>
      <c r="AC176" s="2">
        <v>14.716399470000001</v>
      </c>
    </row>
    <row r="177" spans="10:29" x14ac:dyDescent="0.3">
      <c r="J177" s="2">
        <v>1164.21</v>
      </c>
      <c r="K177" s="2">
        <v>1278.114075</v>
      </c>
      <c r="S177" s="2">
        <v>1164.21</v>
      </c>
      <c r="T177" s="2">
        <v>10.6418426</v>
      </c>
      <c r="AB177" s="2">
        <v>1278.114</v>
      </c>
      <c r="AC177" s="2">
        <v>10.6418426</v>
      </c>
    </row>
    <row r="178" spans="10:29" x14ac:dyDescent="0.3">
      <c r="J178" s="2">
        <v>1201.3599999999999</v>
      </c>
      <c r="K178" s="2">
        <v>1139.5810839999999</v>
      </c>
      <c r="S178" s="2">
        <v>1201.3599999999999</v>
      </c>
      <c r="T178" s="2">
        <v>6.0201328299999997</v>
      </c>
      <c r="AB178" s="2">
        <v>1139.5809999999999</v>
      </c>
      <c r="AC178" s="2">
        <v>6.0201328309999997</v>
      </c>
    </row>
    <row r="179" spans="10:29" x14ac:dyDescent="0.3">
      <c r="J179" s="2">
        <v>1089.96</v>
      </c>
      <c r="K179" s="2">
        <v>1112.76677</v>
      </c>
      <c r="S179" s="2">
        <v>1089.96</v>
      </c>
      <c r="T179" s="2">
        <v>8.9525078800000006</v>
      </c>
      <c r="AB179" s="2">
        <v>1112.7670000000001</v>
      </c>
      <c r="AC179" s="2">
        <v>8.9525078839999992</v>
      </c>
    </row>
    <row r="180" spans="10:29" x14ac:dyDescent="0.3">
      <c r="J180" s="2">
        <v>1293.6199999999999</v>
      </c>
      <c r="K180" s="2">
        <v>1222.7923949999999</v>
      </c>
      <c r="S180" s="2">
        <v>1293.6199999999999</v>
      </c>
      <c r="T180" s="2">
        <v>12.820462600000001</v>
      </c>
      <c r="AB180" s="2">
        <v>1222.7919999999999</v>
      </c>
      <c r="AC180" s="2">
        <v>12.82046255</v>
      </c>
    </row>
    <row r="181" spans="10:29" x14ac:dyDescent="0.3">
      <c r="J181" s="2">
        <v>1421.86</v>
      </c>
      <c r="K181" s="2">
        <v>1193.0266770000001</v>
      </c>
      <c r="S181" s="2">
        <v>1421.86</v>
      </c>
      <c r="T181" s="2">
        <v>14.5580146</v>
      </c>
      <c r="AB181" s="2">
        <v>1193.027</v>
      </c>
      <c r="AC181" s="2">
        <v>14.5580146</v>
      </c>
    </row>
  </sheetData>
  <mergeCells count="15">
    <mergeCell ref="Y138:Z138"/>
    <mergeCell ref="AB138:AC138"/>
    <mergeCell ref="G138:H138"/>
    <mergeCell ref="J138:K138"/>
    <mergeCell ref="M138:N138"/>
    <mergeCell ref="P138:Q138"/>
    <mergeCell ref="S138:T138"/>
    <mergeCell ref="D138:E138"/>
    <mergeCell ref="V2:W2"/>
    <mergeCell ref="D2:E2"/>
    <mergeCell ref="G2:H2"/>
    <mergeCell ref="J2:K2"/>
    <mergeCell ref="P2:Q2"/>
    <mergeCell ref="S2:T2"/>
    <mergeCell ref="V138:W138"/>
  </mergeCells>
  <phoneticPr fontId="1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J45"/>
  <sheetViews>
    <sheetView workbookViewId="0">
      <selection activeCell="F10" sqref="F10"/>
    </sheetView>
  </sheetViews>
  <sheetFormatPr defaultColWidth="9.06640625" defaultRowHeight="13.9" x14ac:dyDescent="0.3"/>
  <cols>
    <col min="1" max="1" width="13.796875" style="2" customWidth="1"/>
    <col min="2" max="2" width="14" style="2" customWidth="1"/>
    <col min="3" max="3" width="11.59765625" style="2" customWidth="1"/>
    <col min="4" max="4" width="16.33203125" style="2" customWidth="1"/>
    <col min="5" max="5" width="9.06640625" style="2"/>
    <col min="6" max="6" width="11.53125" style="2" customWidth="1"/>
    <col min="7" max="7" width="14.9296875" style="2" customWidth="1"/>
    <col min="8" max="8" width="9.06640625" style="2"/>
    <col min="9" max="9" width="11.796875" style="2" customWidth="1"/>
    <col min="10" max="10" width="16.59765625" style="2" customWidth="1"/>
    <col min="11" max="16384" width="9.06640625" style="2"/>
  </cols>
  <sheetData>
    <row r="2" spans="1:10" x14ac:dyDescent="0.3">
      <c r="A2" s="16" t="s">
        <v>152</v>
      </c>
      <c r="B2" s="3" t="s">
        <v>64</v>
      </c>
      <c r="C2" s="21" t="s">
        <v>3</v>
      </c>
      <c r="D2" s="21"/>
      <c r="F2" s="21" t="s">
        <v>6</v>
      </c>
      <c r="G2" s="21"/>
      <c r="I2" s="21" t="s">
        <v>5</v>
      </c>
      <c r="J2" s="21"/>
    </row>
    <row r="3" spans="1:10" x14ac:dyDescent="0.3">
      <c r="C3" s="2" t="s">
        <v>48</v>
      </c>
      <c r="D3" s="2" t="s">
        <v>49</v>
      </c>
      <c r="F3" s="2" t="s">
        <v>48</v>
      </c>
      <c r="G3" s="2" t="s">
        <v>49</v>
      </c>
      <c r="I3" s="2" t="s">
        <v>48</v>
      </c>
      <c r="J3" s="2" t="s">
        <v>49</v>
      </c>
    </row>
    <row r="4" spans="1:10" x14ac:dyDescent="0.3">
      <c r="C4" s="2">
        <v>2.1020953200000001</v>
      </c>
      <c r="D4" s="2">
        <v>11.82739505</v>
      </c>
      <c r="F4" s="2">
        <v>2.6213547899999998</v>
      </c>
      <c r="G4" s="2">
        <v>14.55968676</v>
      </c>
      <c r="I4" s="2">
        <v>3.1173273099999999</v>
      </c>
      <c r="J4" s="2">
        <v>10.507282200000001</v>
      </c>
    </row>
    <row r="5" spans="1:10" x14ac:dyDescent="0.3">
      <c r="C5" s="2">
        <v>3.76356008</v>
      </c>
      <c r="D5" s="2">
        <v>6.3690844240000004</v>
      </c>
      <c r="F5" s="2">
        <v>6.4727650130000001</v>
      </c>
      <c r="G5" s="2">
        <v>8.4930149850000003</v>
      </c>
      <c r="I5" s="2">
        <v>4.4498726900000003</v>
      </c>
      <c r="J5" s="2">
        <v>18.416410290000002</v>
      </c>
    </row>
    <row r="6" spans="1:10" x14ac:dyDescent="0.3">
      <c r="C6" s="2">
        <v>1.5183122600000001</v>
      </c>
      <c r="D6" s="2">
        <v>11.248700100000001</v>
      </c>
      <c r="G6" s="2">
        <v>17.23588273</v>
      </c>
      <c r="I6" s="2">
        <v>4.2931522700000002</v>
      </c>
      <c r="J6" s="2">
        <v>16.143344849999998</v>
      </c>
    </row>
    <row r="7" spans="1:10" x14ac:dyDescent="0.3">
      <c r="C7" s="2">
        <v>2.3637391499999998</v>
      </c>
      <c r="D7" s="2">
        <v>8.6170336679999995</v>
      </c>
      <c r="G7" s="2">
        <v>16.966874740000002</v>
      </c>
      <c r="I7" s="2">
        <v>1.93241332</v>
      </c>
      <c r="J7" s="2">
        <v>16.356800109999998</v>
      </c>
    </row>
    <row r="8" spans="1:10" x14ac:dyDescent="0.3">
      <c r="C8" s="2">
        <v>5.5096741099999997</v>
      </c>
      <c r="D8" s="2">
        <v>16.925618669999999</v>
      </c>
      <c r="G8" s="2">
        <v>16.520089349999999</v>
      </c>
      <c r="I8" s="2">
        <v>0.35101255999999997</v>
      </c>
      <c r="J8" s="2">
        <v>19.503876980000001</v>
      </c>
    </row>
    <row r="9" spans="1:10" x14ac:dyDescent="0.3">
      <c r="C9" s="2">
        <v>4.9170486699999998</v>
      </c>
      <c r="D9" s="2">
        <v>18.21517394</v>
      </c>
      <c r="G9" s="2">
        <v>13.75652197</v>
      </c>
      <c r="I9" s="2">
        <v>3.5599512600000001</v>
      </c>
      <c r="J9" s="2">
        <v>22.019540689999999</v>
      </c>
    </row>
    <row r="10" spans="1:10" x14ac:dyDescent="0.3">
      <c r="C10" s="2">
        <v>1.69616524</v>
      </c>
      <c r="D10" s="2">
        <v>21.181281949999999</v>
      </c>
      <c r="G10" s="2">
        <v>17.872690949999999</v>
      </c>
      <c r="J10" s="2">
        <v>14.770408570000001</v>
      </c>
    </row>
    <row r="11" spans="1:10" x14ac:dyDescent="0.3">
      <c r="C11" s="2">
        <v>2.1324322100000002</v>
      </c>
      <c r="D11" s="2">
        <v>16.077474689999999</v>
      </c>
      <c r="G11" s="2">
        <v>14.67716476</v>
      </c>
      <c r="J11" s="2">
        <v>16.930773779999999</v>
      </c>
    </row>
    <row r="12" spans="1:10" x14ac:dyDescent="0.3">
      <c r="D12" s="2">
        <v>14.369511340000001</v>
      </c>
      <c r="G12" s="2">
        <v>11.881779939999999</v>
      </c>
      <c r="J12" s="2">
        <v>16.194078449999999</v>
      </c>
    </row>
    <row r="13" spans="1:10" x14ac:dyDescent="0.3">
      <c r="D13" s="2">
        <v>16.709595700000001</v>
      </c>
      <c r="G13" s="2">
        <v>10.19728012</v>
      </c>
      <c r="J13" s="2">
        <v>17.746794479999998</v>
      </c>
    </row>
    <row r="14" spans="1:10" x14ac:dyDescent="0.3">
      <c r="D14" s="2">
        <v>15.47893442</v>
      </c>
      <c r="J14" s="2">
        <v>14.29175197</v>
      </c>
    </row>
    <row r="15" spans="1:10" x14ac:dyDescent="0.3">
      <c r="D15" s="2">
        <v>18.575805809999999</v>
      </c>
      <c r="J15" s="2">
        <v>18.178185500000001</v>
      </c>
    </row>
    <row r="16" spans="1:10" x14ac:dyDescent="0.3">
      <c r="D16" s="2">
        <v>9.0259151919999994</v>
      </c>
      <c r="J16" s="2">
        <v>13.299651860000001</v>
      </c>
    </row>
    <row r="17" spans="10:10" x14ac:dyDescent="0.3">
      <c r="J17" s="2">
        <v>16.827774890000001</v>
      </c>
    </row>
    <row r="18" spans="10:10" x14ac:dyDescent="0.3">
      <c r="J18" s="2">
        <v>20.118082609999998</v>
      </c>
    </row>
    <row r="19" spans="10:10" x14ac:dyDescent="0.3">
      <c r="J19" s="2">
        <v>11.646788539999999</v>
      </c>
    </row>
    <row r="20" spans="10:10" x14ac:dyDescent="0.3">
      <c r="J20" s="2">
        <v>17.589850949999999</v>
      </c>
    </row>
    <row r="21" spans="10:10" x14ac:dyDescent="0.3">
      <c r="J21" s="2">
        <v>14.510837929999999</v>
      </c>
    </row>
    <row r="22" spans="10:10" x14ac:dyDescent="0.3">
      <c r="J22" s="2">
        <v>19.965310630000001</v>
      </c>
    </row>
    <row r="23" spans="10:10" x14ac:dyDescent="0.3">
      <c r="J23" s="2">
        <v>10.917304010000001</v>
      </c>
    </row>
    <row r="24" spans="10:10" x14ac:dyDescent="0.3">
      <c r="J24" s="2">
        <v>13.002916839999999</v>
      </c>
    </row>
    <row r="25" spans="10:10" x14ac:dyDescent="0.3">
      <c r="J25" s="2">
        <v>16.884397360000001</v>
      </c>
    </row>
    <row r="26" spans="10:10" x14ac:dyDescent="0.3">
      <c r="J26" s="2">
        <v>18.480113119999999</v>
      </c>
    </row>
    <row r="27" spans="10:10" x14ac:dyDescent="0.3">
      <c r="J27" s="2">
        <v>16.678813909999999</v>
      </c>
    </row>
    <row r="28" spans="10:10" x14ac:dyDescent="0.3">
      <c r="J28" s="2">
        <v>24.703878360000001</v>
      </c>
    </row>
    <row r="29" spans="10:10" x14ac:dyDescent="0.3">
      <c r="J29" s="2">
        <v>11.73244665</v>
      </c>
    </row>
    <row r="30" spans="10:10" x14ac:dyDescent="0.3">
      <c r="J30" s="2">
        <v>12.421509309999999</v>
      </c>
    </row>
    <row r="31" spans="10:10" x14ac:dyDescent="0.3">
      <c r="J31" s="2">
        <v>18.363381140000001</v>
      </c>
    </row>
    <row r="32" spans="10:10" x14ac:dyDescent="0.3">
      <c r="J32" s="2">
        <v>17.220323430000001</v>
      </c>
    </row>
    <row r="33" spans="10:10" x14ac:dyDescent="0.3">
      <c r="J33" s="2">
        <v>11.23981431</v>
      </c>
    </row>
    <row r="34" spans="10:10" x14ac:dyDescent="0.3">
      <c r="J34" s="2">
        <v>18.019951970000001</v>
      </c>
    </row>
    <row r="35" spans="10:10" x14ac:dyDescent="0.3">
      <c r="J35" s="2">
        <v>15.02173934</v>
      </c>
    </row>
    <row r="36" spans="10:10" x14ac:dyDescent="0.3">
      <c r="J36" s="2">
        <v>9.6382192730000007</v>
      </c>
    </row>
    <row r="37" spans="10:10" x14ac:dyDescent="0.3">
      <c r="J37" s="2">
        <v>22.663368370000001</v>
      </c>
    </row>
    <row r="38" spans="10:10" x14ac:dyDescent="0.3">
      <c r="J38" s="2">
        <v>14.63796771</v>
      </c>
    </row>
    <row r="39" spans="10:10" x14ac:dyDescent="0.3">
      <c r="J39" s="2">
        <v>13.41808425</v>
      </c>
    </row>
    <row r="40" spans="10:10" x14ac:dyDescent="0.3">
      <c r="J40" s="2">
        <v>14.716399470000001</v>
      </c>
    </row>
    <row r="41" spans="10:10" x14ac:dyDescent="0.3">
      <c r="J41" s="2">
        <v>10.6418426</v>
      </c>
    </row>
    <row r="42" spans="10:10" x14ac:dyDescent="0.3">
      <c r="J42" s="2">
        <v>6.0201328309999997</v>
      </c>
    </row>
    <row r="43" spans="10:10" x14ac:dyDescent="0.3">
      <c r="J43" s="2">
        <v>8.9525078839999992</v>
      </c>
    </row>
    <row r="44" spans="10:10" x14ac:dyDescent="0.3">
      <c r="J44" s="2">
        <v>12.82046255</v>
      </c>
    </row>
    <row r="45" spans="10:10" x14ac:dyDescent="0.3">
      <c r="J45" s="2">
        <v>14.5580146</v>
      </c>
    </row>
  </sheetData>
  <mergeCells count="3">
    <mergeCell ref="C2:D2"/>
    <mergeCell ref="F2:G2"/>
    <mergeCell ref="I2:J2"/>
  </mergeCells>
  <phoneticPr fontId="10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69754-3E9D-439E-A362-ED34F11F294A}">
  <dimension ref="A2:J22"/>
  <sheetViews>
    <sheetView workbookViewId="0">
      <selection activeCell="M11" sqref="M11"/>
    </sheetView>
  </sheetViews>
  <sheetFormatPr defaultRowHeight="13.9" x14ac:dyDescent="0.3"/>
  <cols>
    <col min="1" max="1" width="11.46484375" customWidth="1"/>
    <col min="3" max="10" width="9.06640625" style="2"/>
  </cols>
  <sheetData>
    <row r="2" spans="1:10" x14ac:dyDescent="0.4">
      <c r="C2" s="15"/>
      <c r="D2" s="15"/>
    </row>
    <row r="3" spans="1:10" x14ac:dyDescent="0.3">
      <c r="A3" s="16" t="s">
        <v>153</v>
      </c>
      <c r="C3" s="21" t="s">
        <v>86</v>
      </c>
      <c r="D3" s="21"/>
      <c r="E3" s="21"/>
      <c r="F3" s="21"/>
      <c r="G3" s="21"/>
      <c r="H3" s="21"/>
      <c r="I3" s="21"/>
      <c r="J3" s="21"/>
    </row>
    <row r="4" spans="1:10" x14ac:dyDescent="0.4">
      <c r="C4" s="15" t="s">
        <v>87</v>
      </c>
      <c r="D4" s="15" t="s">
        <v>84</v>
      </c>
      <c r="F4" s="15" t="s">
        <v>87</v>
      </c>
      <c r="G4" s="15" t="s">
        <v>85</v>
      </c>
      <c r="I4" s="15" t="s">
        <v>84</v>
      </c>
      <c r="J4" s="15" t="s">
        <v>85</v>
      </c>
    </row>
    <row r="5" spans="1:10" x14ac:dyDescent="0.4">
      <c r="C5" s="12">
        <v>530.88239999999996</v>
      </c>
      <c r="D5" s="12">
        <v>774.54489999999998</v>
      </c>
      <c r="F5" s="12">
        <v>530.88239999999996</v>
      </c>
      <c r="G5" s="12">
        <v>2.1021000000000001</v>
      </c>
      <c r="I5" s="12">
        <v>774.54489999999998</v>
      </c>
      <c r="J5" s="12">
        <v>2.1021000000000001</v>
      </c>
    </row>
    <row r="6" spans="1:10" x14ac:dyDescent="0.4">
      <c r="C6" s="12">
        <v>784.77189999999996</v>
      </c>
      <c r="D6" s="12">
        <v>665.48019999999997</v>
      </c>
      <c r="F6" s="12">
        <v>784.77189999999996</v>
      </c>
      <c r="G6" s="12">
        <v>3.76356</v>
      </c>
      <c r="I6" s="12">
        <v>665.48019999999997</v>
      </c>
      <c r="J6" s="12">
        <v>3.76356</v>
      </c>
    </row>
    <row r="7" spans="1:10" x14ac:dyDescent="0.4">
      <c r="C7" s="12">
        <v>1002.588</v>
      </c>
      <c r="D7" s="12">
        <v>617.43409999999994</v>
      </c>
      <c r="F7" s="12">
        <v>1002.588</v>
      </c>
      <c r="G7" s="12">
        <v>1.51831</v>
      </c>
      <c r="I7" s="12">
        <v>617.43409999999994</v>
      </c>
      <c r="J7" s="12">
        <v>1.51831</v>
      </c>
    </row>
    <row r="8" spans="1:10" x14ac:dyDescent="0.4">
      <c r="C8" s="12">
        <v>968.5684</v>
      </c>
      <c r="D8" s="12">
        <v>645.30089999999996</v>
      </c>
      <c r="F8" s="12">
        <v>968.5684</v>
      </c>
      <c r="G8" s="12">
        <v>2.36374</v>
      </c>
      <c r="I8" s="12">
        <v>645.30089999999996</v>
      </c>
      <c r="J8" s="12">
        <v>2.36374</v>
      </c>
    </row>
    <row r="9" spans="1:10" x14ac:dyDescent="0.4">
      <c r="C9" s="12">
        <v>964.6</v>
      </c>
      <c r="D9" s="12">
        <v>737.11469999999997</v>
      </c>
      <c r="F9" s="12">
        <v>964.6</v>
      </c>
      <c r="G9" s="12">
        <v>5.5096699999999998</v>
      </c>
      <c r="I9" s="12">
        <v>737.11469999999997</v>
      </c>
      <c r="J9" s="12">
        <v>5.5096699999999998</v>
      </c>
    </row>
    <row r="10" spans="1:10" x14ac:dyDescent="0.4">
      <c r="C10" s="12">
        <v>1616.116</v>
      </c>
      <c r="D10" s="12">
        <v>1060.557</v>
      </c>
      <c r="F10" s="12">
        <v>1616.116</v>
      </c>
      <c r="G10" s="12">
        <v>4.9170499999999997</v>
      </c>
      <c r="I10" s="12">
        <v>1060.557</v>
      </c>
      <c r="J10" s="12">
        <v>4.9170499999999997</v>
      </c>
    </row>
    <row r="11" spans="1:10" x14ac:dyDescent="0.4">
      <c r="C11" s="12">
        <v>634.96119999999996</v>
      </c>
      <c r="D11" s="12">
        <v>432.20490000000001</v>
      </c>
      <c r="F11" s="12">
        <v>634.96119999999996</v>
      </c>
      <c r="G11" s="12">
        <v>1.69617</v>
      </c>
      <c r="I11" s="12">
        <v>432.20490000000001</v>
      </c>
      <c r="J11" s="12">
        <v>1.69617</v>
      </c>
    </row>
    <row r="12" spans="1:10" x14ac:dyDescent="0.4">
      <c r="C12" s="12">
        <v>412.60879999999997</v>
      </c>
      <c r="D12" s="12">
        <v>609.42639999999994</v>
      </c>
      <c r="F12" s="12">
        <v>412.60879999999997</v>
      </c>
      <c r="G12" s="12">
        <v>2.1324299999999998</v>
      </c>
      <c r="I12" s="12">
        <v>609.42639999999994</v>
      </c>
      <c r="J12" s="12">
        <v>2.1324299999999998</v>
      </c>
    </row>
    <row r="15" spans="1:10" x14ac:dyDescent="0.3">
      <c r="C15" s="21" t="s">
        <v>88</v>
      </c>
      <c r="D15" s="21"/>
      <c r="E15" s="21"/>
      <c r="F15" s="21"/>
      <c r="G15" s="21"/>
      <c r="H15" s="21"/>
      <c r="I15" s="21"/>
      <c r="J15" s="21"/>
    </row>
    <row r="16" spans="1:10" x14ac:dyDescent="0.4">
      <c r="C16" s="15" t="s">
        <v>87</v>
      </c>
      <c r="D16" s="15" t="s">
        <v>84</v>
      </c>
      <c r="F16" s="15" t="s">
        <v>87</v>
      </c>
      <c r="G16" s="15" t="s">
        <v>85</v>
      </c>
      <c r="I16" s="15" t="s">
        <v>84</v>
      </c>
      <c r="J16" s="15" t="s">
        <v>85</v>
      </c>
    </row>
    <row r="17" spans="3:10" x14ac:dyDescent="0.4">
      <c r="C17" s="12">
        <v>898.81359999999995</v>
      </c>
      <c r="D17" s="12">
        <v>910.24090000000001</v>
      </c>
      <c r="F17" s="12">
        <v>898.81359999999995</v>
      </c>
      <c r="G17" s="12">
        <v>3.117327</v>
      </c>
      <c r="I17" s="12">
        <v>910.24090000000001</v>
      </c>
      <c r="J17" s="12">
        <v>3.117327</v>
      </c>
    </row>
    <row r="18" spans="3:10" x14ac:dyDescent="0.4">
      <c r="C18" s="12">
        <v>776.60329999999999</v>
      </c>
      <c r="D18" s="12">
        <v>845.2414</v>
      </c>
      <c r="F18" s="12">
        <v>776.60329999999999</v>
      </c>
      <c r="G18" s="12">
        <v>4.4498730000000002</v>
      </c>
      <c r="I18" s="12">
        <v>845.2414</v>
      </c>
      <c r="J18" s="12">
        <v>4.4498730000000002</v>
      </c>
    </row>
    <row r="19" spans="3:10" x14ac:dyDescent="0.4">
      <c r="C19" s="12">
        <v>707.38059999999996</v>
      </c>
      <c r="D19" s="12">
        <v>793.96929999999998</v>
      </c>
      <c r="F19" s="12">
        <v>707.38059999999996</v>
      </c>
      <c r="G19" s="12">
        <v>4.2931520000000001</v>
      </c>
      <c r="I19" s="12">
        <v>793.96929999999998</v>
      </c>
      <c r="J19" s="12">
        <v>4.2931520000000001</v>
      </c>
    </row>
    <row r="20" spans="3:10" x14ac:dyDescent="0.4">
      <c r="C20" s="12">
        <v>648.00969999999995</v>
      </c>
      <c r="D20" s="12">
        <v>619.92999999999995</v>
      </c>
      <c r="F20" s="12">
        <v>648.00969999999995</v>
      </c>
      <c r="G20" s="12">
        <v>1.9324129999999999</v>
      </c>
      <c r="I20" s="12">
        <v>619.92999999999995</v>
      </c>
      <c r="J20" s="12">
        <v>1.9324129999999999</v>
      </c>
    </row>
    <row r="21" spans="3:10" x14ac:dyDescent="0.4">
      <c r="C21" s="12">
        <v>629.61279999999999</v>
      </c>
      <c r="D21" s="12">
        <v>662.20849999999996</v>
      </c>
      <c r="F21" s="12">
        <v>629.61279999999999</v>
      </c>
      <c r="G21" s="12">
        <v>0.35101300000000002</v>
      </c>
      <c r="I21" s="12">
        <v>662.20849999999996</v>
      </c>
      <c r="J21" s="12">
        <v>0.35101300000000002</v>
      </c>
    </row>
    <row r="22" spans="3:10" x14ac:dyDescent="0.4">
      <c r="C22" s="12">
        <v>759.23969999999997</v>
      </c>
      <c r="D22" s="12">
        <v>726.01829999999995</v>
      </c>
      <c r="F22" s="12">
        <v>759.23969999999997</v>
      </c>
      <c r="G22" s="12">
        <v>3.5599509999999999</v>
      </c>
      <c r="I22" s="12">
        <v>726.01829999999995</v>
      </c>
      <c r="J22" s="12">
        <v>3.5599509999999999</v>
      </c>
    </row>
  </sheetData>
  <mergeCells count="2">
    <mergeCell ref="C3:J3"/>
    <mergeCell ref="C15:J15"/>
  </mergeCells>
  <phoneticPr fontId="10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EF912-878B-480D-950A-F108F588A4B2}">
  <dimension ref="B1:J90"/>
  <sheetViews>
    <sheetView workbookViewId="0">
      <selection activeCell="N9" sqref="N9"/>
    </sheetView>
  </sheetViews>
  <sheetFormatPr defaultRowHeight="13.9" x14ac:dyDescent="0.3"/>
  <cols>
    <col min="1" max="1" width="10.6640625" customWidth="1"/>
    <col min="2" max="2" width="11.73046875" customWidth="1"/>
    <col min="3" max="3" width="9.06640625" style="2"/>
    <col min="4" max="4" width="10.3984375" style="2" customWidth="1"/>
    <col min="5" max="5" width="11.19921875" style="2" customWidth="1"/>
    <col min="6" max="6" width="9.06640625" style="2"/>
    <col min="7" max="7" width="11.3984375" style="2" customWidth="1"/>
    <col min="8" max="8" width="12" style="2" customWidth="1"/>
    <col min="9" max="9" width="9.06640625" style="2"/>
    <col min="10" max="10" width="11" style="2" customWidth="1"/>
  </cols>
  <sheetData>
    <row r="1" spans="2:10" x14ac:dyDescent="0.3">
      <c r="B1" s="16" t="s">
        <v>157</v>
      </c>
      <c r="C1" s="21" t="s">
        <v>86</v>
      </c>
      <c r="D1" s="21"/>
      <c r="E1" s="16" t="s">
        <v>158</v>
      </c>
      <c r="F1" s="21" t="s">
        <v>154</v>
      </c>
      <c r="G1" s="21"/>
      <c r="H1" s="16" t="s">
        <v>159</v>
      </c>
      <c r="I1" s="21" t="s">
        <v>88</v>
      </c>
      <c r="J1" s="21"/>
    </row>
    <row r="2" spans="2:10" x14ac:dyDescent="0.4">
      <c r="C2" s="15" t="s">
        <v>155</v>
      </c>
      <c r="D2" s="15" t="s">
        <v>156</v>
      </c>
      <c r="F2" s="15" t="s">
        <v>155</v>
      </c>
      <c r="G2" s="15" t="s">
        <v>156</v>
      </c>
      <c r="I2" s="15" t="s">
        <v>155</v>
      </c>
      <c r="J2" s="15" t="s">
        <v>156</v>
      </c>
    </row>
    <row r="3" spans="2:10" x14ac:dyDescent="0.4">
      <c r="C3" s="12">
        <v>480.20519999999999</v>
      </c>
      <c r="D3" s="12">
        <v>547.63</v>
      </c>
      <c r="F3" s="12">
        <v>619.65340000000003</v>
      </c>
      <c r="G3" s="12">
        <v>1015.348</v>
      </c>
      <c r="I3" s="12">
        <v>919.59630000000004</v>
      </c>
      <c r="J3" s="12">
        <v>2006.7349999999999</v>
      </c>
    </row>
    <row r="4" spans="2:10" x14ac:dyDescent="0.4">
      <c r="C4" s="12">
        <v>182.45650000000001</v>
      </c>
      <c r="D4" s="12">
        <v>799.25440000000003</v>
      </c>
      <c r="F4" s="12">
        <v>474.78289999999998</v>
      </c>
      <c r="G4" s="12">
        <v>969.10889999999995</v>
      </c>
      <c r="I4" s="12">
        <v>281.37139999999999</v>
      </c>
      <c r="J4" s="12">
        <v>2079.855</v>
      </c>
    </row>
    <row r="5" spans="2:10" x14ac:dyDescent="0.4">
      <c r="C5" s="12">
        <v>204.71789999999999</v>
      </c>
      <c r="D5" s="12">
        <v>891.18259999999998</v>
      </c>
      <c r="F5" s="12">
        <v>461.46719999999999</v>
      </c>
      <c r="G5" s="12">
        <v>1103.7070000000001</v>
      </c>
      <c r="I5" s="12">
        <v>972.84069999999997</v>
      </c>
      <c r="J5" s="12">
        <v>1917.42</v>
      </c>
    </row>
    <row r="6" spans="2:10" x14ac:dyDescent="0.4">
      <c r="C6" s="12">
        <v>137.11009999999999</v>
      </c>
      <c r="D6" s="12">
        <v>662.43730000000005</v>
      </c>
      <c r="F6" s="12">
        <v>460.36900000000003</v>
      </c>
      <c r="G6" s="12">
        <v>647.19979999999998</v>
      </c>
      <c r="I6" s="12">
        <v>737.28520000000003</v>
      </c>
      <c r="J6" s="12">
        <v>1791.636</v>
      </c>
    </row>
    <row r="7" spans="2:10" x14ac:dyDescent="0.4">
      <c r="C7" s="12">
        <v>159.852</v>
      </c>
      <c r="D7" s="12">
        <v>662.39160000000004</v>
      </c>
      <c r="F7" s="12">
        <v>441.0591</v>
      </c>
      <c r="G7" s="12">
        <v>1312.1579999999999</v>
      </c>
      <c r="I7" s="12">
        <v>538.56190000000004</v>
      </c>
      <c r="J7" s="12">
        <v>1843.3209999999999</v>
      </c>
    </row>
    <row r="8" spans="2:10" x14ac:dyDescent="0.4">
      <c r="C8" s="12">
        <v>364.48270000000002</v>
      </c>
      <c r="D8" s="12">
        <v>593.93730000000005</v>
      </c>
      <c r="F8" s="12">
        <v>51.656680000000001</v>
      </c>
      <c r="G8" s="12">
        <v>655.84810000000004</v>
      </c>
      <c r="I8" s="12">
        <v>555.53629999999998</v>
      </c>
      <c r="J8" s="12">
        <v>1626.0809999999999</v>
      </c>
    </row>
    <row r="9" spans="2:10" x14ac:dyDescent="0.4">
      <c r="C9" s="12">
        <v>272.9205</v>
      </c>
      <c r="D9" s="12">
        <v>1674.61</v>
      </c>
      <c r="F9" s="12">
        <v>313.34789999999998</v>
      </c>
      <c r="G9" s="12">
        <v>806.46130000000005</v>
      </c>
      <c r="I9" s="12">
        <v>431.22089999999997</v>
      </c>
      <c r="J9" s="12">
        <v>1989.18</v>
      </c>
    </row>
    <row r="10" spans="2:10" x14ac:dyDescent="0.4">
      <c r="C10" s="12">
        <v>273.767</v>
      </c>
      <c r="D10" s="12">
        <v>1866.596</v>
      </c>
      <c r="F10" s="12">
        <v>552.84640000000002</v>
      </c>
      <c r="G10" s="12">
        <v>1071.4010000000001</v>
      </c>
      <c r="I10" s="12">
        <v>448.86619999999999</v>
      </c>
      <c r="J10" s="12">
        <v>1716.575</v>
      </c>
    </row>
    <row r="11" spans="2:10" x14ac:dyDescent="0.4">
      <c r="C11" s="12">
        <v>136.44659999999999</v>
      </c>
      <c r="D11" s="12">
        <v>1663.527</v>
      </c>
      <c r="F11" s="12">
        <v>511.18349999999998</v>
      </c>
      <c r="G11" s="12">
        <v>1391.5940000000001</v>
      </c>
      <c r="I11" s="12">
        <v>465.44159999999999</v>
      </c>
      <c r="J11" s="12">
        <v>1793.1769999999999</v>
      </c>
    </row>
    <row r="12" spans="2:10" x14ac:dyDescent="0.4">
      <c r="C12" s="12">
        <v>318.83890000000002</v>
      </c>
      <c r="D12" s="12">
        <v>2727.6329999999998</v>
      </c>
      <c r="F12" s="12">
        <v>90.413880000000006</v>
      </c>
      <c r="G12" s="12">
        <v>1379.377</v>
      </c>
      <c r="I12" s="12">
        <v>793.92079999999999</v>
      </c>
      <c r="J12" s="12">
        <v>2043.1859999999999</v>
      </c>
    </row>
    <row r="13" spans="2:10" x14ac:dyDescent="0.4">
      <c r="C13" s="12">
        <v>365.5351</v>
      </c>
      <c r="D13" s="12">
        <v>1977.5719999999999</v>
      </c>
      <c r="F13" s="12">
        <v>180.69479999999999</v>
      </c>
      <c r="G13" s="12">
        <v>1458.8589999999999</v>
      </c>
      <c r="I13" s="12">
        <v>995.25549999999998</v>
      </c>
      <c r="J13" s="12">
        <v>1626.2809999999999</v>
      </c>
    </row>
    <row r="14" spans="2:10" x14ac:dyDescent="0.4">
      <c r="C14" s="12">
        <v>159.32579999999999</v>
      </c>
      <c r="D14" s="12">
        <v>1688.2809999999999</v>
      </c>
      <c r="F14" s="12">
        <v>273.03489999999999</v>
      </c>
      <c r="G14" s="12">
        <v>1488.8309999999999</v>
      </c>
      <c r="I14" s="12">
        <v>1178.165</v>
      </c>
      <c r="J14" s="12">
        <v>2243.85</v>
      </c>
    </row>
    <row r="15" spans="2:10" x14ac:dyDescent="0.4">
      <c r="C15" s="12">
        <v>978.07860000000005</v>
      </c>
      <c r="D15" s="12">
        <v>2370.7919999999999</v>
      </c>
      <c r="F15" s="12">
        <v>136.12629999999999</v>
      </c>
      <c r="G15" s="12">
        <v>1449.7070000000001</v>
      </c>
      <c r="I15" s="12">
        <v>574.0702</v>
      </c>
      <c r="J15" s="12">
        <v>2170.2040000000002</v>
      </c>
    </row>
    <row r="16" spans="2:10" x14ac:dyDescent="0.4">
      <c r="C16" s="12">
        <v>971.87249999999995</v>
      </c>
      <c r="D16" s="12">
        <v>2179.453</v>
      </c>
      <c r="F16" s="12">
        <v>205.084</v>
      </c>
      <c r="G16" s="12">
        <v>1385.6690000000001</v>
      </c>
      <c r="I16" s="12">
        <v>937.53179999999998</v>
      </c>
      <c r="J16" s="12">
        <v>1807.25</v>
      </c>
    </row>
    <row r="17" spans="3:10" x14ac:dyDescent="0.4">
      <c r="C17" s="12">
        <v>963.28890000000001</v>
      </c>
      <c r="D17" s="12">
        <v>2193.665</v>
      </c>
      <c r="F17" s="12">
        <v>204.4434</v>
      </c>
      <c r="G17" s="12">
        <v>1454.4659999999999</v>
      </c>
      <c r="I17" s="12">
        <v>1046.94</v>
      </c>
      <c r="J17" s="12">
        <v>2060.741</v>
      </c>
    </row>
    <row r="18" spans="3:10" x14ac:dyDescent="0.4">
      <c r="C18" s="12">
        <v>960.87639999999999</v>
      </c>
      <c r="D18" s="12">
        <v>1844.482</v>
      </c>
      <c r="F18" s="12">
        <v>204.7637</v>
      </c>
      <c r="G18" s="12">
        <v>1421.886</v>
      </c>
      <c r="I18" s="12">
        <v>920.37609999999995</v>
      </c>
      <c r="J18" s="12">
        <v>1590.21</v>
      </c>
    </row>
    <row r="19" spans="3:10" x14ac:dyDescent="0.4">
      <c r="C19" s="12">
        <v>945.6671</v>
      </c>
      <c r="D19" s="12">
        <v>1768.2080000000001</v>
      </c>
      <c r="F19" s="12">
        <v>227.59700000000001</v>
      </c>
      <c r="G19" s="12">
        <v>1404.7729999999999</v>
      </c>
      <c r="I19" s="12">
        <v>1108.4110000000001</v>
      </c>
      <c r="J19" s="12">
        <v>1770.5809999999999</v>
      </c>
    </row>
    <row r="20" spans="3:10" x14ac:dyDescent="0.4">
      <c r="C20" s="12">
        <v>965.59649999999999</v>
      </c>
      <c r="D20" s="12">
        <v>2198.56</v>
      </c>
      <c r="F20" s="12">
        <v>296.05130000000003</v>
      </c>
      <c r="G20" s="12">
        <v>1400.9290000000001</v>
      </c>
      <c r="I20" s="12">
        <v>1145.6849999999999</v>
      </c>
      <c r="J20" s="12">
        <v>1682.4269999999999</v>
      </c>
    </row>
    <row r="21" spans="3:10" x14ac:dyDescent="0.4">
      <c r="C21" s="12">
        <v>951.40120000000002</v>
      </c>
      <c r="D21" s="12">
        <v>2020.28</v>
      </c>
      <c r="F21" s="12">
        <v>227.91730000000001</v>
      </c>
      <c r="G21" s="12">
        <v>1437.97</v>
      </c>
      <c r="I21" s="12">
        <v>850.87350000000004</v>
      </c>
      <c r="J21" s="12">
        <v>1843.52</v>
      </c>
    </row>
    <row r="22" spans="3:10" x14ac:dyDescent="0.4">
      <c r="C22" s="12">
        <v>969.84460000000001</v>
      </c>
      <c r="D22" s="12">
        <v>1843.2929999999999</v>
      </c>
      <c r="F22" s="12">
        <v>90.276610000000005</v>
      </c>
      <c r="G22" s="12">
        <v>1443.7819999999999</v>
      </c>
      <c r="I22" s="12">
        <v>813.72919999999999</v>
      </c>
      <c r="J22" s="12">
        <v>1790.2760000000001</v>
      </c>
    </row>
    <row r="23" spans="3:10" x14ac:dyDescent="0.4">
      <c r="C23" s="12">
        <v>969.4425</v>
      </c>
      <c r="D23" s="12">
        <v>1672.058</v>
      </c>
      <c r="F23" s="12">
        <v>411.33909999999997</v>
      </c>
      <c r="G23" s="12">
        <v>830.34709999999995</v>
      </c>
      <c r="I23" s="12">
        <v>647.78830000000005</v>
      </c>
      <c r="J23" s="12">
        <v>2024.87</v>
      </c>
    </row>
    <row r="24" spans="3:10" x14ac:dyDescent="0.4">
      <c r="C24" s="12">
        <v>970.14179999999999</v>
      </c>
      <c r="D24" s="12">
        <v>2156.5340000000001</v>
      </c>
      <c r="F24" s="12">
        <v>880.96389999999997</v>
      </c>
      <c r="G24" s="12">
        <v>871.46079999999995</v>
      </c>
      <c r="I24" s="12">
        <v>795.1662</v>
      </c>
      <c r="J24" s="12">
        <v>1752.7719999999999</v>
      </c>
    </row>
    <row r="25" spans="3:10" x14ac:dyDescent="0.4">
      <c r="C25" s="12">
        <v>970.42150000000004</v>
      </c>
      <c r="D25" s="12">
        <v>2026.3989999999999</v>
      </c>
      <c r="F25" s="12">
        <v>694.79809999999998</v>
      </c>
      <c r="G25" s="12">
        <v>769.69460000000004</v>
      </c>
      <c r="I25" s="12">
        <v>905.43669999999997</v>
      </c>
      <c r="J25" s="12">
        <v>1683.4059999999999</v>
      </c>
    </row>
    <row r="26" spans="3:10" x14ac:dyDescent="0.4">
      <c r="C26" s="12">
        <v>973.56820000000005</v>
      </c>
      <c r="D26" s="12">
        <v>1930.0730000000001</v>
      </c>
      <c r="F26" s="12">
        <v>939.13388999999995</v>
      </c>
      <c r="G26" s="12">
        <v>845.21849999999995</v>
      </c>
      <c r="I26" s="12">
        <v>923.99969999999996</v>
      </c>
      <c r="J26" s="12">
        <v>2170.9110000000001</v>
      </c>
    </row>
    <row r="27" spans="3:10" x14ac:dyDescent="0.4">
      <c r="C27" s="12">
        <v>973.58569999999997</v>
      </c>
      <c r="D27" s="12">
        <v>2158.3690000000001</v>
      </c>
      <c r="F27" s="12">
        <v>565.71091999999999</v>
      </c>
      <c r="G27" s="12">
        <v>1072.683</v>
      </c>
      <c r="I27" s="12">
        <v>961.12549999999999</v>
      </c>
      <c r="J27" s="12">
        <v>2079.4560000000001</v>
      </c>
    </row>
    <row r="28" spans="3:10" x14ac:dyDescent="0.4">
      <c r="C28" s="12">
        <v>974.40740000000005</v>
      </c>
      <c r="D28" s="12">
        <v>1773.768</v>
      </c>
      <c r="F28" s="12">
        <v>716.73461999999995</v>
      </c>
      <c r="G28" s="12">
        <v>685.40790000000004</v>
      </c>
      <c r="I28" s="12">
        <v>942.56259999999997</v>
      </c>
      <c r="J28" s="12">
        <v>1536.059</v>
      </c>
    </row>
    <row r="29" spans="3:10" x14ac:dyDescent="0.4">
      <c r="C29" s="12">
        <v>967.32719999999995</v>
      </c>
      <c r="D29" s="12">
        <v>1634.5070000000001</v>
      </c>
      <c r="F29" s="12">
        <v>515.11503000000005</v>
      </c>
      <c r="G29" s="12">
        <v>1622.9480000000001</v>
      </c>
      <c r="I29" s="12">
        <v>998.25139999999999</v>
      </c>
      <c r="J29" s="12">
        <v>1589.721</v>
      </c>
    </row>
    <row r="30" spans="3:10" x14ac:dyDescent="0.4">
      <c r="C30" s="12">
        <v>1443.412</v>
      </c>
      <c r="D30" s="12">
        <v>3209.9940000000001</v>
      </c>
      <c r="F30" s="12">
        <v>491.30135000000001</v>
      </c>
      <c r="G30" s="12">
        <v>753.95370000000003</v>
      </c>
      <c r="I30" s="12">
        <v>628.52419999999995</v>
      </c>
      <c r="J30" s="12">
        <v>1590.3920000000001</v>
      </c>
    </row>
    <row r="31" spans="3:10" x14ac:dyDescent="0.4">
      <c r="C31" s="12">
        <v>1548.915</v>
      </c>
      <c r="D31" s="12">
        <v>1634.8040000000001</v>
      </c>
      <c r="F31" s="12">
        <v>772.65638999999999</v>
      </c>
      <c r="G31" s="12">
        <v>1531.7059999999999</v>
      </c>
      <c r="I31" s="12">
        <v>943.70659999999998</v>
      </c>
      <c r="J31" s="12">
        <v>1879.7360000000001</v>
      </c>
    </row>
    <row r="32" spans="3:10" x14ac:dyDescent="0.4">
      <c r="C32" s="12">
        <v>565.38319999999999</v>
      </c>
      <c r="D32" s="12">
        <v>1861.771</v>
      </c>
      <c r="F32" s="12">
        <v>905.10499000000004</v>
      </c>
      <c r="G32" s="12">
        <v>867.98320000000001</v>
      </c>
      <c r="I32" s="12">
        <v>742.89110000000005</v>
      </c>
      <c r="J32" s="12">
        <v>1572.855</v>
      </c>
    </row>
    <row r="33" spans="3:10" x14ac:dyDescent="0.4">
      <c r="C33" s="12">
        <v>468.72570000000002</v>
      </c>
      <c r="D33" s="12">
        <v>2228.5940000000001</v>
      </c>
      <c r="F33" s="12">
        <v>565.88553999999999</v>
      </c>
      <c r="G33" s="12">
        <v>1194.125</v>
      </c>
      <c r="I33" s="12">
        <v>660.02706596236965</v>
      </c>
      <c r="J33" s="12">
        <v>1590.7909999999999</v>
      </c>
    </row>
    <row r="34" spans="3:10" x14ac:dyDescent="0.4">
      <c r="C34" s="12">
        <v>222.1609</v>
      </c>
      <c r="D34" s="12">
        <v>1790.6379999999999</v>
      </c>
      <c r="F34" s="12">
        <v>482.39577000000003</v>
      </c>
      <c r="G34" s="12">
        <v>868.34929999999997</v>
      </c>
      <c r="I34" s="12">
        <v>545.58606539485743</v>
      </c>
      <c r="J34" s="12">
        <v>2369.7249999999999</v>
      </c>
    </row>
    <row r="35" spans="3:10" x14ac:dyDescent="0.4">
      <c r="C35" s="12">
        <v>408.16840000000002</v>
      </c>
      <c r="D35" s="12">
        <v>1689.365</v>
      </c>
      <c r="F35" s="12">
        <v>440.15978000000001</v>
      </c>
      <c r="G35" s="12">
        <v>1639.8367000000001</v>
      </c>
      <c r="I35" s="12">
        <v>492.56733749508885</v>
      </c>
      <c r="J35" s="12">
        <v>1934.576</v>
      </c>
    </row>
    <row r="36" spans="3:10" x14ac:dyDescent="0.4">
      <c r="C36" s="12">
        <v>546.85239999999999</v>
      </c>
      <c r="D36" s="12">
        <v>1827.105</v>
      </c>
      <c r="F36" s="12">
        <v>511.25157999999999</v>
      </c>
      <c r="G36" s="12">
        <v>1368.7186999999999</v>
      </c>
      <c r="I36" s="12">
        <v>829.45125944034589</v>
      </c>
      <c r="J36" s="12">
        <v>2242.29</v>
      </c>
    </row>
    <row r="37" spans="3:10" x14ac:dyDescent="0.4">
      <c r="C37" s="12">
        <v>416.47230000000002</v>
      </c>
      <c r="D37" s="12">
        <v>2211.41</v>
      </c>
      <c r="F37" s="12">
        <v>565.66726000000006</v>
      </c>
      <c r="G37" s="12">
        <v>1291.3842999999999</v>
      </c>
      <c r="I37" s="12">
        <v>880.898415331558</v>
      </c>
      <c r="J37" s="12">
        <v>1827.325</v>
      </c>
    </row>
    <row r="38" spans="3:10" x14ac:dyDescent="0.4">
      <c r="C38" s="12">
        <v>635.55560000000003</v>
      </c>
      <c r="D38" s="12">
        <v>2611.8850000000002</v>
      </c>
      <c r="F38" s="12">
        <v>660.66006000000004</v>
      </c>
      <c r="G38" s="12">
        <v>938.54454999999996</v>
      </c>
      <c r="I38" s="12">
        <v>327.74872309774304</v>
      </c>
      <c r="J38" s="12">
        <v>1573.037</v>
      </c>
    </row>
    <row r="39" spans="3:10" x14ac:dyDescent="0.4">
      <c r="C39" s="12">
        <v>1459.9849999999999</v>
      </c>
      <c r="D39" s="12">
        <v>1809.029</v>
      </c>
      <c r="F39" s="12">
        <v>739.67520999999999</v>
      </c>
      <c r="G39" s="12">
        <v>1176.2447999999999</v>
      </c>
      <c r="I39" s="12">
        <v>460.54655782075349</v>
      </c>
      <c r="J39" s="12">
        <v>1971.4259999999999</v>
      </c>
    </row>
    <row r="40" spans="3:10" x14ac:dyDescent="0.4">
      <c r="C40" s="12">
        <v>521.66099999999994</v>
      </c>
      <c r="D40" s="12">
        <v>2160.7820000000002</v>
      </c>
      <c r="F40" s="12"/>
      <c r="G40" s="12">
        <v>1140.2077999999999</v>
      </c>
      <c r="I40" s="12">
        <v>642.15043436504129</v>
      </c>
      <c r="J40" s="12">
        <v>2170.712</v>
      </c>
    </row>
    <row r="41" spans="3:10" x14ac:dyDescent="0.4">
      <c r="C41" s="12">
        <v>244.9573</v>
      </c>
      <c r="D41" s="12">
        <v>2193.0189999999998</v>
      </c>
      <c r="F41" s="12"/>
      <c r="G41" s="12">
        <v>1388.8871999999999</v>
      </c>
      <c r="I41" s="12">
        <v>696.02043043611116</v>
      </c>
      <c r="J41" s="12">
        <v>1734.8910000000001</v>
      </c>
    </row>
    <row r="42" spans="3:10" x14ac:dyDescent="0.4">
      <c r="C42" s="12">
        <v>918.6576</v>
      </c>
      <c r="D42" s="12">
        <v>2508.0079999999998</v>
      </c>
      <c r="F42" s="12"/>
      <c r="G42" s="12">
        <v>927.63085999999998</v>
      </c>
      <c r="I42" s="12">
        <v>719.11380800628638</v>
      </c>
      <c r="J42" s="12">
        <v>1702.3209999999999</v>
      </c>
    </row>
    <row r="43" spans="3:10" x14ac:dyDescent="0.4">
      <c r="C43" s="12">
        <v>647.86279999999999</v>
      </c>
      <c r="D43" s="12">
        <v>1828.923</v>
      </c>
      <c r="F43" s="12"/>
      <c r="G43" s="12">
        <v>1145.8173999999999</v>
      </c>
      <c r="I43" s="12">
        <v>759.80006111668922</v>
      </c>
      <c r="J43" s="12">
        <v>1256.8219999999999</v>
      </c>
    </row>
    <row r="44" spans="3:10" x14ac:dyDescent="0.4">
      <c r="C44" s="12">
        <v>330.84589999999997</v>
      </c>
      <c r="D44" s="12">
        <v>2146.0100000000002</v>
      </c>
      <c r="F44" s="12"/>
      <c r="G44" s="12">
        <v>1219.9213999999999</v>
      </c>
      <c r="I44" s="12">
        <v>581.60125725760679</v>
      </c>
      <c r="J44" s="12">
        <v>1552.962</v>
      </c>
    </row>
    <row r="45" spans="3:10" x14ac:dyDescent="0.4">
      <c r="C45" s="12">
        <v>567.14890000000003</v>
      </c>
      <c r="D45" s="12">
        <v>2298.5219999999999</v>
      </c>
      <c r="F45" s="12"/>
      <c r="G45" s="12"/>
      <c r="I45" s="12">
        <v>872.36390622953672</v>
      </c>
      <c r="J45" s="12">
        <v>1311.607</v>
      </c>
    </row>
    <row r="46" spans="3:10" x14ac:dyDescent="0.4">
      <c r="C46" s="12">
        <v>690.4837</v>
      </c>
      <c r="D46" s="12">
        <v>1862.383</v>
      </c>
      <c r="I46" s="12">
        <v>238.25642816606276</v>
      </c>
      <c r="J46" s="12">
        <v>1477.566</v>
      </c>
    </row>
    <row r="47" spans="3:10" x14ac:dyDescent="0.4">
      <c r="C47" s="12">
        <v>344.60419999999999</v>
      </c>
      <c r="D47" s="12">
        <v>1655.31</v>
      </c>
      <c r="I47" s="12">
        <v>916.56436897018375</v>
      </c>
      <c r="J47" s="12">
        <v>1662.0889999999999</v>
      </c>
    </row>
    <row r="48" spans="3:10" x14ac:dyDescent="0.4">
      <c r="C48" s="12">
        <v>483.57659999999998</v>
      </c>
      <c r="D48" s="12">
        <v>1952.5029999999999</v>
      </c>
      <c r="I48" s="12">
        <v>483.79272711398266</v>
      </c>
      <c r="J48" s="12">
        <v>1772.3409999999999</v>
      </c>
    </row>
    <row r="49" spans="3:10" x14ac:dyDescent="0.4">
      <c r="C49" s="12">
        <v>755.80100000000004</v>
      </c>
      <c r="D49" s="12">
        <v>2352.471</v>
      </c>
      <c r="I49" s="12">
        <v>565.95101933906665</v>
      </c>
      <c r="J49" s="12">
        <v>1846.6110000000001</v>
      </c>
    </row>
    <row r="50" spans="3:10" x14ac:dyDescent="0.4">
      <c r="C50" s="12">
        <v>410.6558</v>
      </c>
      <c r="D50" s="12">
        <v>1898.6869999999999</v>
      </c>
      <c r="I50" s="12">
        <v>491.23586676561752</v>
      </c>
      <c r="J50" s="12">
        <v>1975.4259999999999</v>
      </c>
    </row>
    <row r="51" spans="3:10" x14ac:dyDescent="0.4">
      <c r="C51" s="12">
        <v>737.66600000000005</v>
      </c>
      <c r="D51" s="12">
        <v>1591.172</v>
      </c>
      <c r="I51" s="12">
        <v>328.84009254812941</v>
      </c>
      <c r="J51" s="12">
        <v>1902.3</v>
      </c>
    </row>
    <row r="52" spans="3:10" x14ac:dyDescent="0.4">
      <c r="I52" s="12">
        <v>440.18160387654427</v>
      </c>
      <c r="J52" s="12">
        <v>1183.124</v>
      </c>
    </row>
    <row r="53" spans="3:10" x14ac:dyDescent="0.4">
      <c r="I53" s="12">
        <v>473.14096127821188</v>
      </c>
      <c r="J53" s="12">
        <v>1362.904</v>
      </c>
    </row>
    <row r="54" spans="3:10" x14ac:dyDescent="0.4">
      <c r="I54" s="12">
        <v>827.37765748461175</v>
      </c>
      <c r="J54" s="12">
        <v>1081.1569999999999</v>
      </c>
    </row>
    <row r="55" spans="3:10" x14ac:dyDescent="0.4">
      <c r="I55" s="12"/>
      <c r="J55" s="12">
        <v>1385.877</v>
      </c>
    </row>
    <row r="56" spans="3:10" x14ac:dyDescent="0.4">
      <c r="I56" s="12"/>
      <c r="J56" s="12">
        <v>2031.133</v>
      </c>
    </row>
    <row r="57" spans="3:10" x14ac:dyDescent="0.4">
      <c r="I57" s="12"/>
      <c r="J57" s="12">
        <v>1293.0440000000001</v>
      </c>
    </row>
    <row r="58" spans="3:10" x14ac:dyDescent="0.4">
      <c r="I58" s="12"/>
      <c r="J58" s="12">
        <v>1459.0039999999999</v>
      </c>
    </row>
    <row r="59" spans="3:10" x14ac:dyDescent="0.4">
      <c r="I59" s="12"/>
      <c r="J59" s="12">
        <v>1798.174</v>
      </c>
    </row>
    <row r="60" spans="3:10" x14ac:dyDescent="0.4">
      <c r="I60" s="12"/>
      <c r="J60" s="12">
        <v>1606.3810000000001</v>
      </c>
    </row>
    <row r="61" spans="3:10" x14ac:dyDescent="0.4">
      <c r="I61" s="12"/>
      <c r="J61" s="12">
        <v>1938.3</v>
      </c>
    </row>
    <row r="62" spans="3:10" x14ac:dyDescent="0.4">
      <c r="I62" s="12"/>
      <c r="J62" s="12">
        <v>1699.2149999999999</v>
      </c>
    </row>
    <row r="63" spans="3:10" x14ac:dyDescent="0.4">
      <c r="I63" s="12"/>
      <c r="J63" s="12">
        <v>1405.3440000000001</v>
      </c>
    </row>
    <row r="64" spans="3:10" x14ac:dyDescent="0.4">
      <c r="I64" s="12"/>
      <c r="J64" s="12">
        <v>1324.856</v>
      </c>
    </row>
    <row r="65" spans="9:10" x14ac:dyDescent="0.4">
      <c r="I65" s="12"/>
      <c r="J65" s="12">
        <v>1219.9179999999999</v>
      </c>
    </row>
    <row r="66" spans="9:10" x14ac:dyDescent="0.4">
      <c r="I66" s="12"/>
      <c r="J66" s="12">
        <v>1569.182</v>
      </c>
    </row>
    <row r="67" spans="9:10" x14ac:dyDescent="0.4">
      <c r="I67" s="12"/>
      <c r="J67" s="12">
        <v>1071.3779999999999</v>
      </c>
    </row>
    <row r="68" spans="9:10" x14ac:dyDescent="0.4">
      <c r="I68" s="12"/>
      <c r="J68" s="12">
        <v>1108.5219999999999</v>
      </c>
    </row>
    <row r="69" spans="9:10" x14ac:dyDescent="0.4">
      <c r="I69" s="12"/>
      <c r="J69" s="12">
        <v>1257.0440000000001</v>
      </c>
    </row>
    <row r="70" spans="9:10" x14ac:dyDescent="0.4">
      <c r="I70" s="12"/>
      <c r="J70" s="12">
        <v>1145.6479999999999</v>
      </c>
    </row>
    <row r="71" spans="9:10" x14ac:dyDescent="0.4">
      <c r="I71" s="12"/>
      <c r="J71" s="12">
        <v>2105.3850000000002</v>
      </c>
    </row>
    <row r="72" spans="9:10" x14ac:dyDescent="0.4">
      <c r="I72" s="12"/>
      <c r="J72" s="12">
        <v>1127.085</v>
      </c>
    </row>
    <row r="73" spans="9:10" x14ac:dyDescent="0.4">
      <c r="I73" s="12"/>
      <c r="J73" s="12">
        <v>1920.8630000000001</v>
      </c>
    </row>
    <row r="74" spans="9:10" x14ac:dyDescent="0.4">
      <c r="I74" s="12"/>
      <c r="J74" s="12">
        <v>1570.4369999999999</v>
      </c>
    </row>
    <row r="75" spans="9:10" x14ac:dyDescent="0.4">
      <c r="I75" s="12"/>
      <c r="J75" s="12">
        <v>2086.8220000000001</v>
      </c>
    </row>
    <row r="76" spans="9:10" x14ac:dyDescent="0.4">
      <c r="I76" s="12"/>
      <c r="J76" s="12">
        <v>1462.5830000000001</v>
      </c>
    </row>
    <row r="77" spans="9:10" x14ac:dyDescent="0.4">
      <c r="I77" s="12"/>
      <c r="J77" s="12">
        <v>1331.3140000000001</v>
      </c>
    </row>
    <row r="78" spans="9:10" x14ac:dyDescent="0.4">
      <c r="I78" s="12"/>
      <c r="J78" s="12">
        <v>1681.796</v>
      </c>
    </row>
    <row r="79" spans="9:10" x14ac:dyDescent="0.4">
      <c r="I79" s="12"/>
      <c r="J79" s="12">
        <v>1737.4849999999999</v>
      </c>
    </row>
    <row r="80" spans="9:10" x14ac:dyDescent="0.4">
      <c r="I80" s="12"/>
      <c r="J80" s="12">
        <v>1479.836</v>
      </c>
    </row>
    <row r="81" spans="9:10" x14ac:dyDescent="0.4">
      <c r="I81" s="12"/>
      <c r="J81" s="12">
        <v>1405.566</v>
      </c>
    </row>
    <row r="82" spans="9:10" x14ac:dyDescent="0.4">
      <c r="I82" s="12"/>
      <c r="J82" s="12">
        <v>1368.44</v>
      </c>
    </row>
    <row r="83" spans="9:10" x14ac:dyDescent="0.4">
      <c r="J83" s="12">
        <v>870.66136988693415</v>
      </c>
    </row>
    <row r="84" spans="9:10" x14ac:dyDescent="0.4">
      <c r="J84" s="12">
        <v>994.61911206181514</v>
      </c>
    </row>
    <row r="85" spans="9:10" x14ac:dyDescent="0.4">
      <c r="J85" s="12">
        <v>910.27808093595854</v>
      </c>
    </row>
    <row r="86" spans="9:10" x14ac:dyDescent="0.4">
      <c r="J86" s="12">
        <v>854.61823896625492</v>
      </c>
    </row>
    <row r="87" spans="9:10" x14ac:dyDescent="0.4">
      <c r="J87" s="12">
        <v>953.75823983935049</v>
      </c>
    </row>
    <row r="88" spans="9:10" x14ac:dyDescent="0.4">
      <c r="J88" s="12">
        <v>986.01912079277088</v>
      </c>
    </row>
    <row r="89" spans="9:10" x14ac:dyDescent="0.4">
      <c r="J89" s="12">
        <v>897.64002270048445</v>
      </c>
    </row>
    <row r="90" spans="9:10" x14ac:dyDescent="0.4">
      <c r="J90" s="12">
        <v>914.33797529139565</v>
      </c>
    </row>
  </sheetData>
  <mergeCells count="3">
    <mergeCell ref="F1:G1"/>
    <mergeCell ref="C1:D1"/>
    <mergeCell ref="I1:J1"/>
  </mergeCells>
  <phoneticPr fontId="10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91"/>
  <sheetViews>
    <sheetView topLeftCell="A58" zoomScale="70" zoomScaleNormal="70" workbookViewId="0">
      <selection activeCell="X11" sqref="X11"/>
    </sheetView>
  </sheetViews>
  <sheetFormatPr defaultColWidth="9.06640625" defaultRowHeight="17.649999999999999" x14ac:dyDescent="0.3"/>
  <cols>
    <col min="1" max="1" width="15.06640625" style="9" customWidth="1"/>
    <col min="2" max="2" width="14" style="2" customWidth="1"/>
    <col min="3" max="3" width="13.06640625" style="2" customWidth="1"/>
    <col min="4" max="4" width="13.59765625" style="2" customWidth="1"/>
    <col min="5" max="5" width="9.06640625" style="2"/>
    <col min="6" max="6" width="12.796875" style="2" customWidth="1"/>
    <col min="7" max="7" width="14.9296875" style="2" customWidth="1"/>
    <col min="8" max="8" width="9.06640625" style="2"/>
    <col min="9" max="9" width="13.265625" style="2" customWidth="1"/>
    <col min="10" max="10" width="15" style="2" customWidth="1"/>
    <col min="11" max="11" width="9.06640625" style="2"/>
    <col min="12" max="12" width="5.73046875" style="2" customWidth="1"/>
    <col min="13" max="13" width="14" style="2" customWidth="1"/>
    <col min="14" max="14" width="11.46484375" style="2" customWidth="1"/>
    <col min="15" max="15" width="15.06640625" style="2" customWidth="1"/>
    <col min="16" max="16" width="9.06640625" style="2"/>
    <col min="17" max="17" width="11.46484375" style="2" customWidth="1"/>
    <col min="18" max="19" width="9.06640625" style="2"/>
    <col min="20" max="20" width="11.265625" style="2" customWidth="1"/>
    <col min="21" max="16384" width="9.06640625" style="2"/>
  </cols>
  <sheetData>
    <row r="1" spans="1:21" x14ac:dyDescent="0.3">
      <c r="C1" s="21" t="s">
        <v>3</v>
      </c>
      <c r="D1" s="21"/>
      <c r="F1" s="21" t="s">
        <v>6</v>
      </c>
      <c r="G1" s="21"/>
      <c r="I1" s="21" t="s">
        <v>5</v>
      </c>
      <c r="J1" s="21"/>
      <c r="N1" s="21" t="s">
        <v>3</v>
      </c>
      <c r="O1" s="21"/>
      <c r="Q1" s="21" t="s">
        <v>6</v>
      </c>
      <c r="R1" s="21"/>
      <c r="T1" s="21" t="s">
        <v>5</v>
      </c>
      <c r="U1" s="21"/>
    </row>
    <row r="2" spans="1:21" ht="17.25" x14ac:dyDescent="0.3">
      <c r="A2" s="1" t="s">
        <v>160</v>
      </c>
      <c r="B2" s="3" t="s">
        <v>62</v>
      </c>
      <c r="C2" s="2" t="s">
        <v>48</v>
      </c>
      <c r="D2" s="2" t="s">
        <v>49</v>
      </c>
      <c r="F2" s="2" t="s">
        <v>48</v>
      </c>
      <c r="G2" s="2" t="s">
        <v>49</v>
      </c>
      <c r="I2" s="2" t="s">
        <v>48</v>
      </c>
      <c r="J2" s="2" t="s">
        <v>49</v>
      </c>
      <c r="M2" s="3" t="s">
        <v>63</v>
      </c>
      <c r="N2" s="2" t="s">
        <v>48</v>
      </c>
      <c r="O2" s="2" t="s">
        <v>49</v>
      </c>
      <c r="Q2" s="2" t="s">
        <v>48</v>
      </c>
      <c r="R2" s="2" t="s">
        <v>49</v>
      </c>
      <c r="T2" s="2" t="s">
        <v>48</v>
      </c>
      <c r="U2" s="2" t="s">
        <v>49</v>
      </c>
    </row>
    <row r="3" spans="1:21" x14ac:dyDescent="0.3">
      <c r="C3" s="2">
        <v>73.333333330000002</v>
      </c>
      <c r="D3" s="2">
        <v>132</v>
      </c>
      <c r="F3" s="2">
        <v>81.333333330000002</v>
      </c>
      <c r="G3" s="2">
        <v>137.33333329999999</v>
      </c>
      <c r="I3" s="2">
        <v>101.33333330000001</v>
      </c>
      <c r="J3" s="2">
        <v>138</v>
      </c>
      <c r="N3" s="2">
        <v>75</v>
      </c>
      <c r="O3" s="2">
        <v>119.33333330000001</v>
      </c>
      <c r="Q3" s="2">
        <v>94</v>
      </c>
      <c r="R3" s="2">
        <v>149</v>
      </c>
      <c r="T3" s="2">
        <v>92</v>
      </c>
      <c r="U3" s="2">
        <v>144.33333329999999</v>
      </c>
    </row>
    <row r="4" spans="1:21" x14ac:dyDescent="0.3">
      <c r="C4" s="2">
        <v>84.666666669999998</v>
      </c>
      <c r="D4" s="2">
        <v>130.66666670000001</v>
      </c>
      <c r="F4" s="2">
        <v>91.333333330000002</v>
      </c>
      <c r="G4" s="2">
        <v>129.33333329999999</v>
      </c>
      <c r="I4" s="2">
        <v>108</v>
      </c>
      <c r="J4" s="2">
        <v>146</v>
      </c>
      <c r="N4" s="2">
        <v>86.666666669999998</v>
      </c>
      <c r="O4" s="2">
        <v>120.66666669999999</v>
      </c>
      <c r="Q4" s="2">
        <v>74.666666669999998</v>
      </c>
      <c r="R4" s="2">
        <v>135.33333329999999</v>
      </c>
      <c r="T4" s="2">
        <v>102</v>
      </c>
      <c r="U4" s="2">
        <v>143.33333329999999</v>
      </c>
    </row>
    <row r="5" spans="1:21" x14ac:dyDescent="0.3">
      <c r="C5" s="2">
        <v>80</v>
      </c>
      <c r="D5" s="2">
        <v>134.66666670000001</v>
      </c>
      <c r="G5" s="2">
        <v>150.66666670000001</v>
      </c>
      <c r="I5" s="2">
        <v>93.333333330000002</v>
      </c>
      <c r="J5" s="2">
        <v>163.66666670000001</v>
      </c>
      <c r="N5" s="2">
        <v>73</v>
      </c>
      <c r="O5" s="2">
        <v>144</v>
      </c>
      <c r="R5" s="2">
        <v>153.66666670000001</v>
      </c>
      <c r="T5" s="2">
        <v>91</v>
      </c>
      <c r="U5" s="2">
        <v>142</v>
      </c>
    </row>
    <row r="6" spans="1:21" x14ac:dyDescent="0.3">
      <c r="C6" s="2">
        <v>94</v>
      </c>
      <c r="D6" s="2">
        <v>126</v>
      </c>
      <c r="G6" s="2">
        <v>177.33333329999999</v>
      </c>
      <c r="I6" s="2">
        <v>85.333333330000002</v>
      </c>
      <c r="J6" s="2">
        <v>145.33333329999999</v>
      </c>
      <c r="N6" s="2">
        <v>84</v>
      </c>
      <c r="O6" s="2">
        <v>141.66666670000001</v>
      </c>
      <c r="R6" s="2">
        <v>167.33333329999999</v>
      </c>
      <c r="T6" s="2">
        <v>88</v>
      </c>
      <c r="U6" s="2">
        <v>142.66666670000001</v>
      </c>
    </row>
    <row r="7" spans="1:21" x14ac:dyDescent="0.3">
      <c r="C7" s="2">
        <v>108.66666669999999</v>
      </c>
      <c r="D7" s="2">
        <v>166</v>
      </c>
      <c r="G7" s="2">
        <v>160</v>
      </c>
      <c r="I7" s="2">
        <v>58.666666669999998</v>
      </c>
      <c r="J7" s="2">
        <v>190.33333329999999</v>
      </c>
      <c r="N7" s="2">
        <v>106</v>
      </c>
      <c r="O7" s="2">
        <v>172.33333329999999</v>
      </c>
      <c r="R7" s="2">
        <v>154</v>
      </c>
      <c r="T7" s="2">
        <v>54.666670000000003</v>
      </c>
      <c r="U7" s="2">
        <v>230.66666670000001</v>
      </c>
    </row>
    <row r="8" spans="1:21" x14ac:dyDescent="0.3">
      <c r="C8" s="2">
        <v>98</v>
      </c>
      <c r="D8" s="2">
        <v>235.66666670000001</v>
      </c>
      <c r="G8" s="2">
        <v>144</v>
      </c>
      <c r="I8" s="2">
        <v>105</v>
      </c>
      <c r="J8" s="2">
        <v>142.66666670000001</v>
      </c>
      <c r="N8" s="2">
        <v>109.66666669999999</v>
      </c>
      <c r="O8" s="2">
        <v>198</v>
      </c>
      <c r="R8" s="2">
        <v>157.33333329999999</v>
      </c>
      <c r="T8" s="2">
        <v>93</v>
      </c>
      <c r="U8" s="2">
        <v>132.66666670000001</v>
      </c>
    </row>
    <row r="9" spans="1:21" x14ac:dyDescent="0.3">
      <c r="C9" s="2">
        <v>88.666666669999998</v>
      </c>
      <c r="D9" s="2">
        <v>184.66666670000001</v>
      </c>
      <c r="G9" s="2">
        <v>171.33333329999999</v>
      </c>
      <c r="J9" s="2">
        <v>125.33333330000001</v>
      </c>
      <c r="N9" s="2">
        <v>89.333333330000002</v>
      </c>
      <c r="O9" s="2">
        <v>231.33333329999999</v>
      </c>
      <c r="R9" s="2">
        <v>168.66666670000001</v>
      </c>
      <c r="U9" s="2">
        <v>129.33333329999999</v>
      </c>
    </row>
    <row r="10" spans="1:21" x14ac:dyDescent="0.3">
      <c r="C10" s="2">
        <v>92.666666669999998</v>
      </c>
      <c r="D10" s="2">
        <v>167.33333329999999</v>
      </c>
      <c r="G10" s="2">
        <v>155.33333329999999</v>
      </c>
      <c r="J10" s="2">
        <v>158.33333329999999</v>
      </c>
      <c r="N10" s="2">
        <v>91.333333330000002</v>
      </c>
      <c r="O10" s="2">
        <v>174</v>
      </c>
      <c r="R10" s="2">
        <v>147.33333329999999</v>
      </c>
      <c r="U10" s="2">
        <v>134</v>
      </c>
    </row>
    <row r="11" spans="1:21" x14ac:dyDescent="0.3">
      <c r="D11" s="2">
        <v>152.66666670000001</v>
      </c>
      <c r="G11" s="2">
        <v>136</v>
      </c>
      <c r="J11" s="2">
        <v>142</v>
      </c>
      <c r="O11" s="2">
        <v>144.66666670000001</v>
      </c>
      <c r="R11" s="2">
        <v>139.33333329999999</v>
      </c>
      <c r="U11" s="2">
        <v>114.66666669999999</v>
      </c>
    </row>
    <row r="12" spans="1:21" x14ac:dyDescent="0.3">
      <c r="D12" s="2">
        <v>143.33333329999999</v>
      </c>
      <c r="G12" s="2">
        <v>146.66666670000001</v>
      </c>
      <c r="J12" s="2">
        <v>123.33333330000001</v>
      </c>
      <c r="O12" s="2">
        <v>171</v>
      </c>
      <c r="R12" s="2">
        <v>159.66666670000001</v>
      </c>
      <c r="U12" s="2">
        <v>138.66666670000001</v>
      </c>
    </row>
    <row r="13" spans="1:21" x14ac:dyDescent="0.3">
      <c r="D13" s="2">
        <v>164.66666670000001</v>
      </c>
      <c r="J13" s="2">
        <v>140.66666670000001</v>
      </c>
      <c r="O13" s="2">
        <v>134.66666670000001</v>
      </c>
      <c r="U13" s="2">
        <v>145.33333329999999</v>
      </c>
    </row>
    <row r="14" spans="1:21" x14ac:dyDescent="0.3">
      <c r="D14" s="2">
        <v>166.66666670000001</v>
      </c>
      <c r="J14" s="2">
        <v>161.33333329999999</v>
      </c>
      <c r="O14" s="2">
        <v>128</v>
      </c>
      <c r="U14" s="2">
        <v>166</v>
      </c>
    </row>
    <row r="15" spans="1:21" x14ac:dyDescent="0.3">
      <c r="D15" s="2">
        <v>147.33333329999999</v>
      </c>
      <c r="J15" s="2">
        <v>132.66666670000001</v>
      </c>
      <c r="O15" s="2">
        <v>137.33333329999999</v>
      </c>
      <c r="U15" s="2">
        <v>120</v>
      </c>
    </row>
    <row r="16" spans="1:21" x14ac:dyDescent="0.3">
      <c r="J16" s="2">
        <v>139.33333329999999</v>
      </c>
      <c r="U16" s="2">
        <v>151.33333329999999</v>
      </c>
    </row>
    <row r="17" spans="10:21" x14ac:dyDescent="0.3">
      <c r="J17" s="2">
        <v>171</v>
      </c>
      <c r="U17" s="2">
        <v>166.66666670000001</v>
      </c>
    </row>
    <row r="18" spans="10:21" x14ac:dyDescent="0.3">
      <c r="J18" s="2">
        <v>121.33333330000001</v>
      </c>
      <c r="U18" s="2">
        <v>128.66666670000001</v>
      </c>
    </row>
    <row r="19" spans="10:21" x14ac:dyDescent="0.3">
      <c r="J19" s="2">
        <v>165.33333329999999</v>
      </c>
      <c r="U19" s="2">
        <v>155.33333329999999</v>
      </c>
    </row>
    <row r="20" spans="10:21" x14ac:dyDescent="0.3">
      <c r="J20" s="2">
        <v>138.66666670000001</v>
      </c>
      <c r="U20" s="2">
        <v>146.66666670000001</v>
      </c>
    </row>
    <row r="21" spans="10:21" x14ac:dyDescent="0.3">
      <c r="J21" s="2">
        <v>202.33333329999999</v>
      </c>
      <c r="U21" s="2">
        <v>160</v>
      </c>
    </row>
    <row r="22" spans="10:21" x14ac:dyDescent="0.3">
      <c r="J22" s="2">
        <v>128.66666670000001</v>
      </c>
      <c r="U22" s="2">
        <v>104</v>
      </c>
    </row>
    <row r="23" spans="10:21" x14ac:dyDescent="0.3">
      <c r="J23" s="2">
        <v>148</v>
      </c>
      <c r="U23" s="2">
        <v>124.66666669999999</v>
      </c>
    </row>
    <row r="24" spans="10:21" x14ac:dyDescent="0.3">
      <c r="J24" s="2">
        <v>175.66666670000001</v>
      </c>
      <c r="U24" s="2">
        <v>180</v>
      </c>
    </row>
    <row r="25" spans="10:21" x14ac:dyDescent="0.3">
      <c r="J25" s="2">
        <v>157</v>
      </c>
      <c r="U25" s="2">
        <v>153.33333329999999</v>
      </c>
    </row>
    <row r="26" spans="10:21" x14ac:dyDescent="0.3">
      <c r="J26" s="2">
        <v>148.66666670000001</v>
      </c>
      <c r="U26" s="2">
        <v>140.66666670000001</v>
      </c>
    </row>
    <row r="27" spans="10:21" x14ac:dyDescent="0.3">
      <c r="J27" s="2">
        <v>158</v>
      </c>
      <c r="U27" s="2">
        <v>163.33333329999999</v>
      </c>
    </row>
    <row r="28" spans="10:21" x14ac:dyDescent="0.3">
      <c r="J28" s="2">
        <v>173.33333329999999</v>
      </c>
      <c r="U28" s="2">
        <v>127.33333330000001</v>
      </c>
    </row>
    <row r="29" spans="10:21" x14ac:dyDescent="0.3">
      <c r="J29" s="2">
        <v>180</v>
      </c>
      <c r="U29" s="2">
        <v>175</v>
      </c>
    </row>
    <row r="30" spans="10:21" x14ac:dyDescent="0.3">
      <c r="J30" s="2">
        <v>157.66666670000001</v>
      </c>
      <c r="U30" s="2">
        <v>124</v>
      </c>
    </row>
    <row r="31" spans="10:21" x14ac:dyDescent="0.3">
      <c r="J31" s="2">
        <v>136.66666670000001</v>
      </c>
      <c r="U31" s="2">
        <v>130</v>
      </c>
    </row>
    <row r="32" spans="10:21" x14ac:dyDescent="0.3">
      <c r="J32" s="2">
        <v>115.33333330000001</v>
      </c>
      <c r="U32" s="2">
        <v>105.33333330000001</v>
      </c>
    </row>
    <row r="33" spans="1:21" x14ac:dyDescent="0.3">
      <c r="J33" s="2">
        <v>133.33333329999999</v>
      </c>
      <c r="U33" s="2">
        <v>136.66666670000001</v>
      </c>
    </row>
    <row r="34" spans="1:21" x14ac:dyDescent="0.3">
      <c r="J34" s="2">
        <v>144.66666670000001</v>
      </c>
      <c r="U34" s="2">
        <v>122</v>
      </c>
    </row>
    <row r="35" spans="1:21" x14ac:dyDescent="0.3">
      <c r="J35" s="2">
        <v>161</v>
      </c>
      <c r="U35" s="2">
        <v>150</v>
      </c>
    </row>
    <row r="36" spans="1:21" x14ac:dyDescent="0.3">
      <c r="J36" s="2">
        <v>169.33333329999999</v>
      </c>
      <c r="U36" s="2">
        <v>112</v>
      </c>
    </row>
    <row r="37" spans="1:21" x14ac:dyDescent="0.3">
      <c r="J37" s="2">
        <v>128</v>
      </c>
      <c r="U37" s="2">
        <v>113.33333330000001</v>
      </c>
    </row>
    <row r="38" spans="1:21" x14ac:dyDescent="0.3">
      <c r="J38" s="2">
        <v>110</v>
      </c>
      <c r="U38" s="2">
        <v>102.66666669999999</v>
      </c>
    </row>
    <row r="39" spans="1:21" x14ac:dyDescent="0.3">
      <c r="J39" s="2">
        <v>168</v>
      </c>
      <c r="U39" s="2">
        <v>138</v>
      </c>
    </row>
    <row r="40" spans="1:21" x14ac:dyDescent="0.3">
      <c r="J40" s="2">
        <v>172.66666670000001</v>
      </c>
      <c r="U40" s="2">
        <v>130.66666670000001</v>
      </c>
    </row>
    <row r="41" spans="1:21" x14ac:dyDescent="0.3">
      <c r="J41" s="2">
        <v>126.66666669999999</v>
      </c>
      <c r="U41" s="2">
        <v>110</v>
      </c>
    </row>
    <row r="42" spans="1:21" x14ac:dyDescent="0.3">
      <c r="J42" s="2">
        <v>104.66666669999999</v>
      </c>
      <c r="U42" s="2">
        <v>103.33333330000001</v>
      </c>
    </row>
    <row r="43" spans="1:21" x14ac:dyDescent="0.3">
      <c r="J43" s="2">
        <v>134</v>
      </c>
      <c r="U43" s="2">
        <v>156</v>
      </c>
    </row>
    <row r="44" spans="1:21" x14ac:dyDescent="0.3">
      <c r="J44" s="2">
        <v>90.666666669999998</v>
      </c>
      <c r="U44" s="2">
        <v>126.66666669999999</v>
      </c>
    </row>
    <row r="48" spans="1:21" ht="17.25" x14ac:dyDescent="0.3">
      <c r="A48" s="1" t="s">
        <v>161</v>
      </c>
      <c r="C48" s="21" t="s">
        <v>3</v>
      </c>
      <c r="D48" s="21"/>
      <c r="F48" s="21" t="s">
        <v>6</v>
      </c>
      <c r="G48" s="21"/>
      <c r="I48" s="21" t="s">
        <v>5</v>
      </c>
      <c r="J48" s="21"/>
    </row>
    <row r="49" spans="3:10" x14ac:dyDescent="0.3">
      <c r="C49" s="2" t="s">
        <v>62</v>
      </c>
      <c r="D49" s="2" t="s">
        <v>63</v>
      </c>
      <c r="F49" s="2" t="s">
        <v>62</v>
      </c>
      <c r="G49" s="2" t="s">
        <v>63</v>
      </c>
      <c r="I49" s="2" t="s">
        <v>62</v>
      </c>
      <c r="J49" s="2" t="s">
        <v>63</v>
      </c>
    </row>
    <row r="50" spans="3:10" x14ac:dyDescent="0.3">
      <c r="C50" s="2">
        <v>132</v>
      </c>
      <c r="D50" s="2">
        <v>119.33329999999999</v>
      </c>
      <c r="F50" s="2">
        <v>137.33000000000001</v>
      </c>
      <c r="G50" s="2">
        <v>149</v>
      </c>
      <c r="I50" s="2">
        <v>138</v>
      </c>
      <c r="J50" s="2">
        <v>144.33330000000001</v>
      </c>
    </row>
    <row r="51" spans="3:10" x14ac:dyDescent="0.3">
      <c r="C51" s="2">
        <v>130.66999999999999</v>
      </c>
      <c r="D51" s="2">
        <v>120.66670000000001</v>
      </c>
      <c r="F51" s="2">
        <v>129.33000000000001</v>
      </c>
      <c r="G51" s="2">
        <v>135.33330000000001</v>
      </c>
      <c r="I51" s="2">
        <v>146</v>
      </c>
      <c r="J51" s="2">
        <v>143.33330000000001</v>
      </c>
    </row>
    <row r="52" spans="3:10" x14ac:dyDescent="0.3">
      <c r="C52" s="2">
        <v>134.66999999999999</v>
      </c>
      <c r="D52" s="2">
        <v>144</v>
      </c>
      <c r="F52" s="2">
        <v>150.66999999999999</v>
      </c>
      <c r="G52" s="2">
        <v>153.66669999999999</v>
      </c>
      <c r="I52" s="2">
        <v>163.66669999999999</v>
      </c>
      <c r="J52" s="2">
        <v>142</v>
      </c>
    </row>
    <row r="53" spans="3:10" x14ac:dyDescent="0.3">
      <c r="C53" s="2">
        <v>126</v>
      </c>
      <c r="D53" s="2">
        <v>141.66669999999999</v>
      </c>
      <c r="F53" s="2">
        <v>177.33</v>
      </c>
      <c r="G53" s="2">
        <v>167.33330000000001</v>
      </c>
      <c r="I53" s="2">
        <v>145.33330000000001</v>
      </c>
      <c r="J53" s="2">
        <v>142.66669999999999</v>
      </c>
    </row>
    <row r="54" spans="3:10" x14ac:dyDescent="0.3">
      <c r="C54" s="2">
        <v>166</v>
      </c>
      <c r="D54" s="2">
        <v>172.33330000000001</v>
      </c>
      <c r="F54" s="2">
        <v>160</v>
      </c>
      <c r="G54" s="2">
        <v>154</v>
      </c>
      <c r="I54" s="2">
        <v>190.33330000000001</v>
      </c>
      <c r="J54" s="2">
        <v>230.66669999999999</v>
      </c>
    </row>
    <row r="55" spans="3:10" x14ac:dyDescent="0.3">
      <c r="C55" s="2">
        <v>235.67</v>
      </c>
      <c r="D55" s="2">
        <v>198</v>
      </c>
      <c r="F55" s="2">
        <v>144</v>
      </c>
      <c r="G55" s="2">
        <v>157.33330000000001</v>
      </c>
      <c r="I55" s="2">
        <v>142.66669999999999</v>
      </c>
      <c r="J55" s="2">
        <v>132.66669999999999</v>
      </c>
    </row>
    <row r="56" spans="3:10" x14ac:dyDescent="0.3">
      <c r="C56" s="2">
        <v>184.67</v>
      </c>
      <c r="D56" s="2">
        <v>231.33330000000001</v>
      </c>
      <c r="F56" s="2">
        <v>171.33</v>
      </c>
      <c r="G56" s="2">
        <v>168.66669999999999</v>
      </c>
      <c r="I56" s="2">
        <v>125.33329999999999</v>
      </c>
      <c r="J56" s="2">
        <v>129.33330000000001</v>
      </c>
    </row>
    <row r="57" spans="3:10" x14ac:dyDescent="0.3">
      <c r="C57" s="2">
        <v>167.33</v>
      </c>
      <c r="D57" s="2">
        <v>174</v>
      </c>
      <c r="F57" s="2">
        <v>155.33000000000001</v>
      </c>
      <c r="G57" s="2">
        <v>147.33330000000001</v>
      </c>
      <c r="I57" s="2">
        <v>158.33330000000001</v>
      </c>
      <c r="J57" s="2">
        <v>134</v>
      </c>
    </row>
    <row r="58" spans="3:10" x14ac:dyDescent="0.3">
      <c r="C58" s="2">
        <v>152.66999999999999</v>
      </c>
      <c r="D58" s="2">
        <v>144.66669999999999</v>
      </c>
      <c r="F58" s="2">
        <v>136</v>
      </c>
      <c r="G58" s="2">
        <v>139.33330000000001</v>
      </c>
      <c r="I58" s="2">
        <v>142</v>
      </c>
      <c r="J58" s="2">
        <v>114.66670000000001</v>
      </c>
    </row>
    <row r="59" spans="3:10" x14ac:dyDescent="0.3">
      <c r="C59" s="2">
        <v>143.33000000000001</v>
      </c>
      <c r="D59" s="2">
        <v>171</v>
      </c>
      <c r="F59" s="2">
        <v>146.66999999999999</v>
      </c>
      <c r="G59" s="2">
        <v>159.66669999999999</v>
      </c>
      <c r="I59" s="2">
        <v>123.33329999999999</v>
      </c>
      <c r="J59" s="2">
        <v>138.66669999999999</v>
      </c>
    </row>
    <row r="60" spans="3:10" x14ac:dyDescent="0.3">
      <c r="C60" s="2">
        <v>164.67</v>
      </c>
      <c r="D60" s="2">
        <v>134.66669999999999</v>
      </c>
      <c r="I60" s="2">
        <v>140.66669999999999</v>
      </c>
      <c r="J60" s="2">
        <v>145.33330000000001</v>
      </c>
    </row>
    <row r="61" spans="3:10" x14ac:dyDescent="0.3">
      <c r="C61" s="2">
        <v>166.67</v>
      </c>
      <c r="D61" s="2">
        <v>128</v>
      </c>
      <c r="I61" s="2">
        <v>161.33330000000001</v>
      </c>
      <c r="J61" s="2">
        <v>166</v>
      </c>
    </row>
    <row r="62" spans="3:10" x14ac:dyDescent="0.3">
      <c r="C62" s="2">
        <v>147.33000000000001</v>
      </c>
      <c r="D62" s="2">
        <v>137.33330000000001</v>
      </c>
      <c r="I62" s="2">
        <v>132.66669999999999</v>
      </c>
      <c r="J62" s="2">
        <v>120</v>
      </c>
    </row>
    <row r="63" spans="3:10" x14ac:dyDescent="0.3">
      <c r="I63" s="2">
        <v>139.33330000000001</v>
      </c>
      <c r="J63" s="2">
        <v>151.33330000000001</v>
      </c>
    </row>
    <row r="64" spans="3:10" x14ac:dyDescent="0.3">
      <c r="I64" s="2">
        <v>171</v>
      </c>
      <c r="J64" s="2">
        <v>166.66669999999999</v>
      </c>
    </row>
    <row r="65" spans="9:10" x14ac:dyDescent="0.3">
      <c r="I65" s="2">
        <v>121.33329999999999</v>
      </c>
      <c r="J65" s="2">
        <v>128.66669999999999</v>
      </c>
    </row>
    <row r="66" spans="9:10" x14ac:dyDescent="0.3">
      <c r="I66" s="2">
        <v>165.33330000000001</v>
      </c>
      <c r="J66" s="2">
        <v>155.33330000000001</v>
      </c>
    </row>
    <row r="67" spans="9:10" x14ac:dyDescent="0.3">
      <c r="I67" s="2">
        <v>138.66669999999999</v>
      </c>
      <c r="J67" s="2">
        <v>146.66669999999999</v>
      </c>
    </row>
    <row r="68" spans="9:10" x14ac:dyDescent="0.3">
      <c r="I68" s="2">
        <v>202.33330000000001</v>
      </c>
      <c r="J68" s="2">
        <v>160</v>
      </c>
    </row>
    <row r="69" spans="9:10" x14ac:dyDescent="0.3">
      <c r="I69" s="2">
        <v>128.66669999999999</v>
      </c>
      <c r="J69" s="2">
        <v>104</v>
      </c>
    </row>
    <row r="70" spans="9:10" x14ac:dyDescent="0.3">
      <c r="I70" s="2">
        <v>148</v>
      </c>
      <c r="J70" s="2">
        <v>124.66670000000001</v>
      </c>
    </row>
    <row r="71" spans="9:10" x14ac:dyDescent="0.3">
      <c r="I71" s="2">
        <v>175.66669999999999</v>
      </c>
      <c r="J71" s="2">
        <v>180</v>
      </c>
    </row>
    <row r="72" spans="9:10" x14ac:dyDescent="0.3">
      <c r="I72" s="2">
        <v>157</v>
      </c>
      <c r="J72" s="2">
        <v>153.33330000000001</v>
      </c>
    </row>
    <row r="73" spans="9:10" x14ac:dyDescent="0.3">
      <c r="I73" s="2">
        <v>148.66669999999999</v>
      </c>
      <c r="J73" s="2">
        <v>140.66669999999999</v>
      </c>
    </row>
    <row r="74" spans="9:10" x14ac:dyDescent="0.3">
      <c r="I74" s="2">
        <v>158</v>
      </c>
      <c r="J74" s="2">
        <v>163.33330000000001</v>
      </c>
    </row>
    <row r="75" spans="9:10" x14ac:dyDescent="0.3">
      <c r="I75" s="2">
        <v>173.33330000000001</v>
      </c>
      <c r="J75" s="2">
        <v>127.33329999999999</v>
      </c>
    </row>
    <row r="76" spans="9:10" x14ac:dyDescent="0.3">
      <c r="I76" s="2">
        <v>180</v>
      </c>
      <c r="J76" s="2">
        <v>175</v>
      </c>
    </row>
    <row r="77" spans="9:10" x14ac:dyDescent="0.3">
      <c r="I77" s="2">
        <v>157.66669999999999</v>
      </c>
      <c r="J77" s="2">
        <v>124</v>
      </c>
    </row>
    <row r="78" spans="9:10" x14ac:dyDescent="0.3">
      <c r="I78" s="2">
        <v>136.66669999999999</v>
      </c>
      <c r="J78" s="2">
        <v>130</v>
      </c>
    </row>
    <row r="79" spans="9:10" x14ac:dyDescent="0.3">
      <c r="I79" s="2">
        <v>115.33329999999999</v>
      </c>
      <c r="J79" s="2">
        <v>105.33329999999999</v>
      </c>
    </row>
    <row r="80" spans="9:10" x14ac:dyDescent="0.3">
      <c r="I80" s="2">
        <v>133.33330000000001</v>
      </c>
      <c r="J80" s="2">
        <v>136.66669999999999</v>
      </c>
    </row>
    <row r="81" spans="9:10" x14ac:dyDescent="0.3">
      <c r="I81" s="2">
        <v>144.66669999999999</v>
      </c>
      <c r="J81" s="2">
        <v>122</v>
      </c>
    </row>
    <row r="82" spans="9:10" x14ac:dyDescent="0.3">
      <c r="I82" s="2">
        <v>161</v>
      </c>
      <c r="J82" s="2">
        <v>150</v>
      </c>
    </row>
    <row r="83" spans="9:10" x14ac:dyDescent="0.3">
      <c r="I83" s="2">
        <v>169.33330000000001</v>
      </c>
      <c r="J83" s="2">
        <v>112</v>
      </c>
    </row>
    <row r="84" spans="9:10" x14ac:dyDescent="0.3">
      <c r="I84" s="2">
        <v>128</v>
      </c>
      <c r="J84" s="2">
        <v>113.33329999999999</v>
      </c>
    </row>
    <row r="85" spans="9:10" x14ac:dyDescent="0.3">
      <c r="I85" s="2">
        <v>110</v>
      </c>
      <c r="J85" s="2">
        <v>102.66670000000001</v>
      </c>
    </row>
    <row r="86" spans="9:10" x14ac:dyDescent="0.3">
      <c r="I86" s="2">
        <v>168</v>
      </c>
      <c r="J86" s="2">
        <v>138</v>
      </c>
    </row>
    <row r="87" spans="9:10" x14ac:dyDescent="0.3">
      <c r="I87" s="2">
        <v>172.66669999999999</v>
      </c>
      <c r="J87" s="2">
        <v>130.66669999999999</v>
      </c>
    </row>
    <row r="88" spans="9:10" x14ac:dyDescent="0.3">
      <c r="I88" s="2">
        <v>126.66670000000001</v>
      </c>
      <c r="J88" s="2">
        <v>110</v>
      </c>
    </row>
    <row r="89" spans="9:10" x14ac:dyDescent="0.3">
      <c r="I89" s="2">
        <v>104.66670000000001</v>
      </c>
      <c r="J89" s="2">
        <v>103.33329999999999</v>
      </c>
    </row>
    <row r="90" spans="9:10" x14ac:dyDescent="0.3">
      <c r="I90" s="2">
        <v>134</v>
      </c>
      <c r="J90" s="2">
        <v>156</v>
      </c>
    </row>
    <row r="91" spans="9:10" x14ac:dyDescent="0.3">
      <c r="I91" s="2">
        <v>90.666669999999996</v>
      </c>
      <c r="J91" s="2">
        <v>126.66670000000001</v>
      </c>
    </row>
  </sheetData>
  <mergeCells count="9">
    <mergeCell ref="T1:U1"/>
    <mergeCell ref="C48:D48"/>
    <mergeCell ref="F48:G48"/>
    <mergeCell ref="I48:J48"/>
    <mergeCell ref="C1:D1"/>
    <mergeCell ref="F1:G1"/>
    <mergeCell ref="I1:J1"/>
    <mergeCell ref="N1:O1"/>
    <mergeCell ref="Q1:R1"/>
  </mergeCells>
  <phoneticPr fontId="10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G16"/>
  <sheetViews>
    <sheetView workbookViewId="0">
      <selection activeCell="K10" sqref="K10"/>
    </sheetView>
  </sheetViews>
  <sheetFormatPr defaultColWidth="9.06640625" defaultRowHeight="13.9" x14ac:dyDescent="0.3"/>
  <cols>
    <col min="1" max="1" width="16" style="2" customWidth="1"/>
    <col min="2" max="2" width="11.19921875" style="2" customWidth="1"/>
    <col min="3" max="16384" width="9.06640625" style="2"/>
  </cols>
  <sheetData>
    <row r="2" spans="1:7" x14ac:dyDescent="0.3">
      <c r="A2" s="16" t="s">
        <v>162</v>
      </c>
      <c r="C2" s="21" t="s">
        <v>65</v>
      </c>
      <c r="D2" s="21"/>
      <c r="F2" s="21" t="s">
        <v>66</v>
      </c>
      <c r="G2" s="21"/>
    </row>
    <row r="3" spans="1:7" x14ac:dyDescent="0.3">
      <c r="B3" s="2" t="s">
        <v>76</v>
      </c>
      <c r="C3" s="2" t="s">
        <v>15</v>
      </c>
      <c r="D3" s="2" t="s">
        <v>23</v>
      </c>
      <c r="F3" s="2" t="s">
        <v>15</v>
      </c>
      <c r="G3" s="2" t="s">
        <v>23</v>
      </c>
    </row>
    <row r="4" spans="1:7" x14ac:dyDescent="0.3">
      <c r="C4" s="2">
        <v>1.088041947</v>
      </c>
      <c r="D4" s="2">
        <v>2.8467991399999999</v>
      </c>
      <c r="F4" s="2">
        <v>0.86270500000000006</v>
      </c>
      <c r="G4" s="2">
        <v>3.041156</v>
      </c>
    </row>
    <row r="5" spans="1:7" x14ac:dyDescent="0.3">
      <c r="C5" s="2">
        <v>0.97972566400000005</v>
      </c>
      <c r="D5" s="2">
        <v>2.9313704120000001</v>
      </c>
      <c r="F5" s="2">
        <v>0.98022900000000002</v>
      </c>
      <c r="G5" s="2">
        <v>2.8079619999999998</v>
      </c>
    </row>
    <row r="6" spans="1:7" x14ac:dyDescent="0.3">
      <c r="C6" s="2">
        <v>0.93223564199999998</v>
      </c>
      <c r="D6" s="2">
        <v>2.7469399839999999</v>
      </c>
      <c r="F6" s="2">
        <v>1.15707</v>
      </c>
      <c r="G6" s="2">
        <v>3.3091979999999999</v>
      </c>
    </row>
    <row r="7" spans="1:7" x14ac:dyDescent="0.3">
      <c r="B7" s="6" t="s">
        <v>16</v>
      </c>
      <c r="C7" s="6">
        <f>AVERAGE(C4:C6)</f>
        <v>1.0000010843333333</v>
      </c>
      <c r="D7" s="6">
        <f t="shared" ref="D7:G7" si="0">AVERAGE(D4:D6)</f>
        <v>2.8417031786666662</v>
      </c>
      <c r="E7" s="6"/>
      <c r="F7" s="6">
        <f t="shared" si="0"/>
        <v>1.0000013333333333</v>
      </c>
      <c r="G7" s="6">
        <f t="shared" si="0"/>
        <v>3.0527719999999996</v>
      </c>
    </row>
    <row r="8" spans="1:7" x14ac:dyDescent="0.3">
      <c r="B8" s="6" t="s">
        <v>17</v>
      </c>
      <c r="C8" s="6">
        <f>STDEV(C4:C6)</f>
        <v>7.9857502288189983E-2</v>
      </c>
      <c r="D8" s="6">
        <f t="shared" ref="D8:G8" si="1">STDEV(D4:D6)</f>
        <v>9.2320757738977285E-2</v>
      </c>
      <c r="E8" s="6"/>
      <c r="F8" s="6">
        <f t="shared" si="1"/>
        <v>0.14817522458337395</v>
      </c>
      <c r="G8" s="6">
        <f t="shared" si="1"/>
        <v>0.25081981683272159</v>
      </c>
    </row>
    <row r="10" spans="1:7" x14ac:dyDescent="0.3">
      <c r="C10" s="21" t="s">
        <v>65</v>
      </c>
      <c r="D10" s="21"/>
      <c r="F10" s="21" t="s">
        <v>66</v>
      </c>
      <c r="G10" s="21"/>
    </row>
    <row r="11" spans="1:7" x14ac:dyDescent="0.3">
      <c r="B11" s="2" t="s">
        <v>14</v>
      </c>
      <c r="C11" s="2" t="s">
        <v>15</v>
      </c>
      <c r="D11" s="2" t="s">
        <v>23</v>
      </c>
      <c r="F11" s="2" t="s">
        <v>15</v>
      </c>
      <c r="G11" s="2" t="s">
        <v>23</v>
      </c>
    </row>
    <row r="12" spans="1:7" x14ac:dyDescent="0.3">
      <c r="C12" s="2">
        <v>0.95338842999999995</v>
      </c>
      <c r="D12" s="2">
        <v>0.51322314000000002</v>
      </c>
      <c r="F12" s="2">
        <v>0.95459400000000005</v>
      </c>
      <c r="G12" s="2">
        <v>0.30795099999999997</v>
      </c>
    </row>
    <row r="13" spans="1:7" x14ac:dyDescent="0.3">
      <c r="C13" s="2">
        <v>1.0368595039999999</v>
      </c>
      <c r="D13" s="2">
        <v>0.49322314</v>
      </c>
      <c r="F13" s="2">
        <v>1.0268550000000001</v>
      </c>
      <c r="G13" s="2">
        <v>0.42579499999999998</v>
      </c>
    </row>
    <row r="14" spans="1:7" x14ac:dyDescent="0.3">
      <c r="C14" s="2">
        <v>1.0097520659999999</v>
      </c>
      <c r="D14" s="2">
        <v>0.36727272700000002</v>
      </c>
      <c r="F14" s="2">
        <v>1.018551</v>
      </c>
      <c r="G14" s="2">
        <v>0.36325099999999999</v>
      </c>
    </row>
    <row r="15" spans="1:7" x14ac:dyDescent="0.3">
      <c r="B15" s="4" t="s">
        <v>16</v>
      </c>
      <c r="C15" s="4">
        <f>AVERAGE(C12:C14)</f>
        <v>1</v>
      </c>
      <c r="D15" s="4">
        <f t="shared" ref="D15:G15" si="2">AVERAGE(D12:D14)</f>
        <v>0.45790633566666666</v>
      </c>
      <c r="E15" s="4"/>
      <c r="F15" s="4">
        <f t="shared" si="2"/>
        <v>1</v>
      </c>
      <c r="G15" s="4">
        <f t="shared" si="2"/>
        <v>0.36566566666666667</v>
      </c>
    </row>
    <row r="16" spans="1:7" x14ac:dyDescent="0.3">
      <c r="B16" s="4" t="s">
        <v>17</v>
      </c>
      <c r="C16" s="4">
        <f>STDEV(C12:C14)</f>
        <v>4.2581476514203152E-2</v>
      </c>
      <c r="D16" s="4">
        <f t="shared" ref="D16:G16" si="3">STDEV(D12:D14)</f>
        <v>7.9125459018933225E-2</v>
      </c>
      <c r="E16" s="4"/>
      <c r="F16" s="4">
        <f t="shared" si="3"/>
        <v>3.9541342048544578E-2</v>
      </c>
      <c r="G16" s="4">
        <f t="shared" si="3"/>
        <v>5.8959096374803323E-2</v>
      </c>
    </row>
  </sheetData>
  <mergeCells count="4">
    <mergeCell ref="C2:D2"/>
    <mergeCell ref="F2:G2"/>
    <mergeCell ref="C10:D10"/>
    <mergeCell ref="F10:G10"/>
  </mergeCells>
  <phoneticPr fontId="10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80"/>
  <sheetViews>
    <sheetView zoomScale="55" zoomScaleNormal="55" workbookViewId="0">
      <selection activeCell="O72" sqref="O72"/>
    </sheetView>
  </sheetViews>
  <sheetFormatPr defaultColWidth="9.06640625" defaultRowHeight="17.25" x14ac:dyDescent="0.3"/>
  <cols>
    <col min="1" max="1" width="15.265625" style="18" customWidth="1"/>
    <col min="2" max="2" width="11.59765625" style="8" customWidth="1"/>
    <col min="3" max="3" width="9.06640625" style="8"/>
    <col min="4" max="4" width="19.06640625" style="8" customWidth="1"/>
    <col min="5" max="5" width="18.796875" style="8" customWidth="1"/>
    <col min="6" max="6" width="26.796875" style="8" customWidth="1"/>
    <col min="7" max="8" width="9.06640625" style="8"/>
    <col min="9" max="9" width="19.33203125" style="8" customWidth="1"/>
    <col min="10" max="10" width="18.33203125" style="8" customWidth="1"/>
    <col min="11" max="11" width="28.59765625" style="8" customWidth="1"/>
    <col min="12" max="12" width="25" style="8" customWidth="1"/>
    <col min="13" max="28" width="9.06640625" style="8"/>
    <col min="29" max="16384" width="9.06640625" style="2"/>
  </cols>
  <sheetData>
    <row r="1" spans="1:28" x14ac:dyDescent="0.3">
      <c r="B1" s="24" t="s">
        <v>65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P1" s="24" t="s">
        <v>66</v>
      </c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</row>
    <row r="2" spans="1:28" x14ac:dyDescent="0.3">
      <c r="A2" s="18" t="s">
        <v>163</v>
      </c>
      <c r="C2" s="25" t="s">
        <v>15</v>
      </c>
      <c r="D2" s="25"/>
      <c r="E2" s="25"/>
      <c r="F2" s="25" t="s">
        <v>67</v>
      </c>
      <c r="G2" s="25"/>
      <c r="H2" s="25"/>
      <c r="I2" s="25" t="s">
        <v>166</v>
      </c>
      <c r="J2" s="25"/>
      <c r="K2" s="25"/>
      <c r="L2" s="25" t="s">
        <v>187</v>
      </c>
      <c r="M2" s="25"/>
      <c r="N2" s="25"/>
      <c r="Q2" s="25" t="s">
        <v>15</v>
      </c>
      <c r="R2" s="25"/>
      <c r="S2" s="25"/>
      <c r="T2" s="25" t="s">
        <v>67</v>
      </c>
      <c r="U2" s="25"/>
      <c r="V2" s="25"/>
      <c r="W2" s="25" t="s">
        <v>166</v>
      </c>
      <c r="X2" s="25"/>
      <c r="Y2" s="25"/>
      <c r="Z2" s="25" t="s">
        <v>187</v>
      </c>
      <c r="AA2" s="25"/>
      <c r="AB2" s="25"/>
    </row>
    <row r="3" spans="1:28" x14ac:dyDescent="0.3">
      <c r="B3" s="8" t="s">
        <v>54</v>
      </c>
      <c r="C3" s="8">
        <v>0</v>
      </c>
      <c r="D3" s="8">
        <v>1</v>
      </c>
      <c r="E3" s="8">
        <v>2</v>
      </c>
      <c r="F3" s="8">
        <v>0</v>
      </c>
      <c r="G3" s="8">
        <v>1</v>
      </c>
      <c r="H3" s="8">
        <v>2</v>
      </c>
      <c r="I3" s="8">
        <v>0</v>
      </c>
      <c r="J3" s="8">
        <v>1</v>
      </c>
      <c r="K3" s="8">
        <v>2</v>
      </c>
      <c r="L3" s="8">
        <v>0</v>
      </c>
      <c r="M3" s="8">
        <v>1</v>
      </c>
      <c r="N3" s="8">
        <v>2</v>
      </c>
      <c r="P3" s="8" t="s">
        <v>54</v>
      </c>
      <c r="Q3" s="8">
        <v>0</v>
      </c>
      <c r="R3" s="8">
        <v>1</v>
      </c>
      <c r="S3" s="8">
        <v>2</v>
      </c>
      <c r="T3" s="8">
        <v>0</v>
      </c>
      <c r="U3" s="8">
        <v>1</v>
      </c>
      <c r="V3" s="8">
        <v>2</v>
      </c>
      <c r="W3" s="8">
        <v>0</v>
      </c>
      <c r="X3" s="8">
        <v>1</v>
      </c>
      <c r="Y3" s="8">
        <v>2</v>
      </c>
      <c r="Z3" s="8">
        <v>0</v>
      </c>
      <c r="AA3" s="8">
        <v>1</v>
      </c>
      <c r="AB3" s="8">
        <v>2</v>
      </c>
    </row>
    <row r="4" spans="1:28" x14ac:dyDescent="0.3">
      <c r="C4" s="8">
        <v>69.320160000000001</v>
      </c>
      <c r="D4" s="8">
        <v>557.6875</v>
      </c>
      <c r="E4" s="8">
        <v>887.11170000000004</v>
      </c>
      <c r="F4" s="8">
        <v>136.44380000000001</v>
      </c>
      <c r="G4" s="8">
        <v>279.87909999999999</v>
      </c>
      <c r="H4" s="8">
        <v>491.27936</v>
      </c>
      <c r="I4" s="8">
        <v>84.24</v>
      </c>
      <c r="J4" s="8">
        <v>260.48880000000003</v>
      </c>
      <c r="K4" s="8">
        <v>503.36</v>
      </c>
      <c r="L4" s="8">
        <v>77.875200000000007</v>
      </c>
      <c r="M4" s="8">
        <v>207.8835</v>
      </c>
      <c r="N4" s="8">
        <v>267.37779999999998</v>
      </c>
      <c r="Q4" s="8">
        <v>170.71809999999999</v>
      </c>
      <c r="R4" s="8">
        <v>270.51440000000002</v>
      </c>
      <c r="S4" s="8">
        <v>725.53729999999996</v>
      </c>
      <c r="T4" s="8">
        <v>108.53700000000001</v>
      </c>
      <c r="U4" s="8">
        <v>377.9194</v>
      </c>
      <c r="V4" s="8">
        <v>776.35583999999994</v>
      </c>
      <c r="W4" s="8">
        <v>100.1</v>
      </c>
      <c r="X4" s="8">
        <v>406.7149</v>
      </c>
      <c r="Y4" s="8">
        <v>609.27779999999996</v>
      </c>
      <c r="Z4" s="8">
        <v>273.32029999999997</v>
      </c>
      <c r="AA4" s="8">
        <v>503.1936</v>
      </c>
      <c r="AB4" s="8">
        <v>402.09519999999998</v>
      </c>
    </row>
    <row r="5" spans="1:28" x14ac:dyDescent="0.3">
      <c r="C5" s="8">
        <v>113.256</v>
      </c>
      <c r="D5" s="8">
        <v>370.1506</v>
      </c>
      <c r="E5" s="8">
        <v>791.154</v>
      </c>
      <c r="F5" s="8">
        <v>43.130879999999998</v>
      </c>
      <c r="G5" s="8">
        <v>368.4658</v>
      </c>
      <c r="H5" s="8">
        <v>562.65819999999997</v>
      </c>
      <c r="I5" s="8">
        <v>90.562160000000006</v>
      </c>
      <c r="J5" s="8">
        <v>220.83519999999999</v>
      </c>
      <c r="K5" s="8">
        <v>386.048</v>
      </c>
      <c r="L5" s="8">
        <v>163.08860000000001</v>
      </c>
      <c r="M5" s="8">
        <v>262.0883</v>
      </c>
      <c r="N5" s="8">
        <v>293.58780000000002</v>
      </c>
      <c r="Q5" s="8">
        <v>105.39100000000001</v>
      </c>
      <c r="R5" s="8">
        <v>477.79469999999998</v>
      </c>
      <c r="S5" s="8">
        <v>883.47119999999995</v>
      </c>
      <c r="T5" s="8">
        <v>96.028919999999999</v>
      </c>
      <c r="U5" s="8">
        <v>337.76029999999997</v>
      </c>
      <c r="V5" s="8">
        <v>719.54064000000005</v>
      </c>
      <c r="W5" s="8">
        <v>73.082880000000003</v>
      </c>
      <c r="X5" s="8">
        <v>217.45150000000001</v>
      </c>
      <c r="Y5" s="8">
        <v>404.79759999999999</v>
      </c>
      <c r="Z5" s="8">
        <v>66.443520000000007</v>
      </c>
      <c r="AA5" s="8">
        <v>175.77610000000001</v>
      </c>
      <c r="AB5" s="8">
        <v>141.01779999999999</v>
      </c>
    </row>
    <row r="6" spans="1:28" x14ac:dyDescent="0.3">
      <c r="C6" s="8">
        <v>81.153800000000004</v>
      </c>
      <c r="D6" s="8">
        <v>365.36239999999998</v>
      </c>
      <c r="E6" s="8">
        <v>905.62159999999994</v>
      </c>
      <c r="F6" s="8">
        <v>76.869</v>
      </c>
      <c r="G6" s="8">
        <v>396.46460000000002</v>
      </c>
      <c r="H6" s="8">
        <v>613.6</v>
      </c>
      <c r="I6" s="8">
        <v>97.525999999999996</v>
      </c>
      <c r="J6" s="8">
        <v>225.29050000000001</v>
      </c>
      <c r="K6" s="8">
        <v>544.76499999999999</v>
      </c>
      <c r="L6" s="8">
        <v>59.978879999999997</v>
      </c>
      <c r="M6" s="8">
        <v>193.49199999999999</v>
      </c>
      <c r="N6" s="8">
        <v>285.4212</v>
      </c>
      <c r="Q6" s="8">
        <v>40.205880000000001</v>
      </c>
      <c r="R6" s="8">
        <v>502.15100000000001</v>
      </c>
      <c r="S6" s="8">
        <v>936</v>
      </c>
      <c r="T6" s="8">
        <v>96.828159999999997</v>
      </c>
      <c r="U6" s="8">
        <v>479.19869999999997</v>
      </c>
      <c r="V6" s="8">
        <v>687.96</v>
      </c>
      <c r="W6" s="8">
        <v>162.1901</v>
      </c>
      <c r="X6" s="8">
        <v>398.59870000000001</v>
      </c>
      <c r="Y6" s="8">
        <v>538.42880000000002</v>
      </c>
      <c r="Z6" s="8">
        <v>77.796679999999995</v>
      </c>
      <c r="AA6" s="8">
        <v>146.28899999999999</v>
      </c>
      <c r="AB6" s="8">
        <v>183.45599999999999</v>
      </c>
    </row>
    <row r="7" spans="1:28" x14ac:dyDescent="0.3">
      <c r="C7" s="8">
        <v>120.7003</v>
      </c>
      <c r="D7" s="8">
        <v>462.3091</v>
      </c>
      <c r="E7" s="8">
        <v>1326.78</v>
      </c>
      <c r="F7" s="8">
        <v>114.96420000000001</v>
      </c>
      <c r="G7" s="8">
        <v>564.33100000000002</v>
      </c>
      <c r="H7" s="8">
        <v>765.39631999999995</v>
      </c>
      <c r="I7" s="8">
        <v>71.97372</v>
      </c>
      <c r="J7" s="8">
        <v>247.66139999999999</v>
      </c>
      <c r="K7" s="8">
        <v>482.28539999999998</v>
      </c>
      <c r="L7" s="8">
        <v>124.15779999999999</v>
      </c>
      <c r="M7" s="8">
        <v>152.0532</v>
      </c>
      <c r="N7" s="8">
        <v>160.93379999999999</v>
      </c>
      <c r="Q7" s="8">
        <v>94.887519999999995</v>
      </c>
      <c r="R7" s="8">
        <v>492.9434</v>
      </c>
      <c r="S7" s="8">
        <v>871.34109999999998</v>
      </c>
      <c r="T7" s="8">
        <v>115.3937</v>
      </c>
      <c r="U7" s="8">
        <v>272.6069</v>
      </c>
      <c r="V7" s="8">
        <v>429.28703999999999</v>
      </c>
      <c r="W7" s="8">
        <v>68.796000000000006</v>
      </c>
      <c r="X7" s="8">
        <v>174.096</v>
      </c>
      <c r="Y7" s="8">
        <v>336.39420000000001</v>
      </c>
      <c r="Z7" s="8">
        <v>68.219840000000005</v>
      </c>
      <c r="AA7" s="8">
        <v>110.5</v>
      </c>
      <c r="AB7" s="8">
        <v>174.14279999999999</v>
      </c>
    </row>
    <row r="8" spans="1:28" x14ac:dyDescent="0.3">
      <c r="C8" s="8">
        <v>98.425600000000003</v>
      </c>
      <c r="D8" s="8">
        <v>447.54939999999999</v>
      </c>
      <c r="E8" s="8">
        <v>811.51199999999994</v>
      </c>
      <c r="F8" s="8">
        <v>84.724639999999994</v>
      </c>
      <c r="G8" s="8">
        <v>384.59199999999998</v>
      </c>
      <c r="H8" s="8">
        <v>658.04543999999999</v>
      </c>
      <c r="I8" s="8">
        <v>101.4</v>
      </c>
      <c r="J8" s="8">
        <v>208.73220000000001</v>
      </c>
      <c r="K8" s="8">
        <v>379.7217</v>
      </c>
      <c r="L8" s="8">
        <v>85.770880000000005</v>
      </c>
      <c r="M8" s="8">
        <v>115.2403</v>
      </c>
      <c r="N8" s="8">
        <v>175.9014</v>
      </c>
      <c r="Q8" s="8">
        <v>113.7032</v>
      </c>
      <c r="R8" s="8">
        <v>302.14179999999999</v>
      </c>
      <c r="S8" s="8">
        <v>1115.712</v>
      </c>
      <c r="T8" s="8">
        <v>78.110240000000005</v>
      </c>
      <c r="U8" s="8">
        <v>316.16000000000003</v>
      </c>
      <c r="V8" s="8">
        <v>599.04</v>
      </c>
      <c r="W8" s="8">
        <v>74.995440000000002</v>
      </c>
      <c r="X8" s="8">
        <v>183.81739999999999</v>
      </c>
      <c r="Y8" s="8">
        <v>285.72390000000001</v>
      </c>
      <c r="Z8" s="8">
        <v>50.450400000000002</v>
      </c>
      <c r="AA8" s="8">
        <v>88.583039999999997</v>
      </c>
      <c r="AB8" s="8">
        <v>151.91489999999999</v>
      </c>
    </row>
    <row r="9" spans="1:28" x14ac:dyDescent="0.3">
      <c r="B9" s="6" t="s">
        <v>16</v>
      </c>
      <c r="C9" s="6">
        <f>AVERAGE(C4:C8)</f>
        <v>96.571172000000004</v>
      </c>
      <c r="D9" s="6">
        <f t="shared" ref="D9:N9" si="0">AVERAGE(D4:D8)</f>
        <v>440.61179999999996</v>
      </c>
      <c r="E9" s="6">
        <f t="shared" si="0"/>
        <v>944.43585999999993</v>
      </c>
      <c r="F9" s="6">
        <f t="shared" si="0"/>
        <v>91.226504000000006</v>
      </c>
      <c r="G9" s="6">
        <f t="shared" si="0"/>
        <v>398.74650000000003</v>
      </c>
      <c r="H9" s="6">
        <f t="shared" si="0"/>
        <v>618.19586399999991</v>
      </c>
      <c r="I9" s="6">
        <f t="shared" si="0"/>
        <v>89.140376000000018</v>
      </c>
      <c r="J9" s="6">
        <f t="shared" si="0"/>
        <v>232.60162</v>
      </c>
      <c r="K9" s="6">
        <f t="shared" si="0"/>
        <v>459.23602</v>
      </c>
      <c r="L9" s="6">
        <f t="shared" si="0"/>
        <v>102.174272</v>
      </c>
      <c r="M9" s="6">
        <f t="shared" si="0"/>
        <v>186.15146000000001</v>
      </c>
      <c r="N9" s="6">
        <f t="shared" si="0"/>
        <v>236.64439999999999</v>
      </c>
      <c r="P9" s="6" t="s">
        <v>16</v>
      </c>
      <c r="Q9" s="6">
        <f>AVERAGE(Q4:Q8)</f>
        <v>104.98114000000001</v>
      </c>
      <c r="R9" s="6">
        <f t="shared" ref="R9:AB9" si="1">AVERAGE(R4:R8)</f>
        <v>409.10905999999994</v>
      </c>
      <c r="S9" s="6">
        <f t="shared" si="1"/>
        <v>906.41232000000002</v>
      </c>
      <c r="T9" s="6">
        <f t="shared" si="1"/>
        <v>98.979603999999995</v>
      </c>
      <c r="U9" s="6">
        <f t="shared" si="1"/>
        <v>356.72906</v>
      </c>
      <c r="V9" s="6">
        <f t="shared" si="1"/>
        <v>642.43670399999996</v>
      </c>
      <c r="W9" s="6">
        <f t="shared" si="1"/>
        <v>95.832883999999993</v>
      </c>
      <c r="X9" s="6">
        <f t="shared" si="1"/>
        <v>276.13569999999999</v>
      </c>
      <c r="Y9" s="6">
        <f t="shared" si="1"/>
        <v>434.92446000000001</v>
      </c>
      <c r="Z9" s="6">
        <f t="shared" si="1"/>
        <v>107.24614799999999</v>
      </c>
      <c r="AA9" s="6">
        <f t="shared" si="1"/>
        <v>204.86834800000003</v>
      </c>
      <c r="AB9" s="6">
        <f t="shared" si="1"/>
        <v>210.52533999999997</v>
      </c>
    </row>
    <row r="10" spans="1:28" x14ac:dyDescent="0.3">
      <c r="B10" s="6" t="s">
        <v>17</v>
      </c>
      <c r="C10" s="6">
        <f>STDEV(C4:C8)</f>
        <v>21.472949384328182</v>
      </c>
      <c r="D10" s="6">
        <f t="shared" ref="D10:N10" si="2">STDEV(D4:D8)</f>
        <v>78.82397407727602</v>
      </c>
      <c r="E10" s="6">
        <f t="shared" si="2"/>
        <v>219.17101122967441</v>
      </c>
      <c r="F10" s="6">
        <f t="shared" si="2"/>
        <v>35.95025477473672</v>
      </c>
      <c r="G10" s="6">
        <f t="shared" si="2"/>
        <v>103.28378763552392</v>
      </c>
      <c r="H10" s="6">
        <f t="shared" si="2"/>
        <v>103.04042414272864</v>
      </c>
      <c r="I10" s="6">
        <f t="shared" si="2"/>
        <v>11.633424940630185</v>
      </c>
      <c r="J10" s="6">
        <f t="shared" si="2"/>
        <v>21.012746776706756</v>
      </c>
      <c r="K10" s="6">
        <f t="shared" si="2"/>
        <v>73.267351709079733</v>
      </c>
      <c r="L10" s="6">
        <f t="shared" si="2"/>
        <v>41.333394895105357</v>
      </c>
      <c r="M10" s="6">
        <f t="shared" si="2"/>
        <v>55.865133819789513</v>
      </c>
      <c r="N10" s="6">
        <f t="shared" si="2"/>
        <v>63.22198173641825</v>
      </c>
      <c r="P10" s="6" t="s">
        <v>17</v>
      </c>
      <c r="Q10" s="6">
        <f>STDEV(Q4:Q8)</f>
        <v>46.624311519519487</v>
      </c>
      <c r="R10" s="6">
        <f t="shared" ref="R10:AB10" si="3">STDEV(R4:R8)</f>
        <v>112.97476576301476</v>
      </c>
      <c r="S10" s="6">
        <f t="shared" si="3"/>
        <v>140.67146581221425</v>
      </c>
      <c r="T10" s="6">
        <f t="shared" si="3"/>
        <v>14.227016262339824</v>
      </c>
      <c r="U10" s="6">
        <f t="shared" si="3"/>
        <v>78.310349761912178</v>
      </c>
      <c r="V10" s="6">
        <f t="shared" si="3"/>
        <v>135.34010454569494</v>
      </c>
      <c r="W10" s="6">
        <f t="shared" si="3"/>
        <v>39.064828314964892</v>
      </c>
      <c r="X10" s="6">
        <f t="shared" si="3"/>
        <v>116.64767256814436</v>
      </c>
      <c r="Y10" s="6">
        <f t="shared" si="3"/>
        <v>136.00448751919168</v>
      </c>
      <c r="Z10" s="6">
        <f t="shared" si="3"/>
        <v>93.356252183100821</v>
      </c>
      <c r="AA10" s="6">
        <f t="shared" si="3"/>
        <v>170.076095357024</v>
      </c>
      <c r="AB10" s="6">
        <f t="shared" si="3"/>
        <v>108.42270454009171</v>
      </c>
    </row>
    <row r="14" spans="1:28" x14ac:dyDescent="0.3">
      <c r="C14" s="24" t="s">
        <v>65</v>
      </c>
      <c r="D14" s="24"/>
      <c r="E14" s="24"/>
      <c r="F14" s="24"/>
      <c r="I14" s="24" t="s">
        <v>66</v>
      </c>
      <c r="J14" s="24"/>
      <c r="K14" s="24"/>
      <c r="L14" s="24"/>
    </row>
    <row r="15" spans="1:28" x14ac:dyDescent="0.3">
      <c r="C15" s="8" t="s">
        <v>15</v>
      </c>
      <c r="D15" s="8" t="s">
        <v>67</v>
      </c>
      <c r="E15" s="8" t="s">
        <v>166</v>
      </c>
      <c r="F15" s="8" t="s">
        <v>187</v>
      </c>
      <c r="I15" s="8" t="s">
        <v>15</v>
      </c>
      <c r="J15" s="8" t="s">
        <v>67</v>
      </c>
      <c r="K15" s="8" t="s">
        <v>166</v>
      </c>
      <c r="L15" s="8" t="s">
        <v>187</v>
      </c>
    </row>
    <row r="16" spans="1:28" x14ac:dyDescent="0.3">
      <c r="C16" s="8">
        <v>887.11170000000004</v>
      </c>
      <c r="D16" s="8">
        <v>491.27936</v>
      </c>
      <c r="E16" s="8">
        <v>503.36</v>
      </c>
      <c r="F16" s="8">
        <v>267.37779999999998</v>
      </c>
      <c r="I16" s="8">
        <v>725.53729999999996</v>
      </c>
      <c r="J16" s="8">
        <v>776.35583999999994</v>
      </c>
      <c r="K16" s="8">
        <v>609.27779999999996</v>
      </c>
      <c r="L16" s="8">
        <v>402.09519999999998</v>
      </c>
    </row>
    <row r="17" spans="1:12" x14ac:dyDescent="0.3">
      <c r="C17" s="8">
        <v>791.154</v>
      </c>
      <c r="D17" s="8">
        <v>562.65819999999997</v>
      </c>
      <c r="E17" s="8">
        <v>386.048</v>
      </c>
      <c r="F17" s="8">
        <v>293.58780000000002</v>
      </c>
      <c r="I17" s="8">
        <v>883.47119999999995</v>
      </c>
      <c r="J17" s="8">
        <v>719.54064000000005</v>
      </c>
      <c r="K17" s="8">
        <v>404.79759999999999</v>
      </c>
      <c r="L17" s="8">
        <v>141.01779999999999</v>
      </c>
    </row>
    <row r="18" spans="1:12" x14ac:dyDescent="0.3">
      <c r="C18" s="8">
        <v>905.62159999999994</v>
      </c>
      <c r="D18" s="8">
        <v>613.6</v>
      </c>
      <c r="E18" s="8">
        <v>544.76499999999999</v>
      </c>
      <c r="F18" s="8">
        <v>285.4212</v>
      </c>
      <c r="I18" s="8">
        <v>936</v>
      </c>
      <c r="J18" s="8">
        <v>687.96</v>
      </c>
      <c r="K18" s="8">
        <v>538.42880000000002</v>
      </c>
      <c r="L18" s="8">
        <v>183.45599999999999</v>
      </c>
    </row>
    <row r="19" spans="1:12" x14ac:dyDescent="0.3">
      <c r="C19" s="8">
        <v>1326.78</v>
      </c>
      <c r="D19" s="8">
        <v>765.39631999999995</v>
      </c>
      <c r="E19" s="8">
        <v>482.28539999999998</v>
      </c>
      <c r="F19" s="8">
        <v>160.93379999999999</v>
      </c>
      <c r="I19" s="8">
        <v>871.34109999999998</v>
      </c>
      <c r="J19" s="8">
        <v>429.28703999999999</v>
      </c>
      <c r="K19" s="8">
        <v>336.39420000000001</v>
      </c>
      <c r="L19" s="8">
        <v>174.14279999999999</v>
      </c>
    </row>
    <row r="20" spans="1:12" x14ac:dyDescent="0.3">
      <c r="C20" s="8">
        <v>811.51199999999994</v>
      </c>
      <c r="D20" s="8">
        <v>658.04543999999999</v>
      </c>
      <c r="E20" s="8">
        <v>379.7217</v>
      </c>
      <c r="F20" s="8">
        <v>175.9014</v>
      </c>
      <c r="I20" s="8">
        <v>1115.712</v>
      </c>
      <c r="J20" s="8">
        <v>599.04</v>
      </c>
      <c r="K20" s="8">
        <v>285.72390000000001</v>
      </c>
      <c r="L20" s="8">
        <v>151.91489999999999</v>
      </c>
    </row>
    <row r="21" spans="1:12" x14ac:dyDescent="0.3">
      <c r="B21" s="6" t="s">
        <v>16</v>
      </c>
      <c r="C21" s="6">
        <f>AVERAGE(C16:C20)</f>
        <v>944.43585999999993</v>
      </c>
      <c r="D21" s="6">
        <f t="shared" ref="D21:F21" si="4">AVERAGE(D16:D20)</f>
        <v>618.19586399999991</v>
      </c>
      <c r="E21" s="6">
        <f t="shared" si="4"/>
        <v>459.23602</v>
      </c>
      <c r="F21" s="6">
        <f t="shared" si="4"/>
        <v>236.64439999999999</v>
      </c>
      <c r="G21" s="6"/>
      <c r="H21" s="6"/>
      <c r="I21" s="6">
        <f t="shared" ref="I21" si="5">AVERAGE(I16:I20)</f>
        <v>906.41232000000002</v>
      </c>
      <c r="J21" s="6">
        <f t="shared" ref="J21" si="6">AVERAGE(J16:J20)</f>
        <v>642.43670399999996</v>
      </c>
      <c r="K21" s="6">
        <f t="shared" ref="K21" si="7">AVERAGE(K16:K20)</f>
        <v>434.92446000000001</v>
      </c>
      <c r="L21" s="6">
        <f t="shared" ref="L21" si="8">AVERAGE(L16:L20)</f>
        <v>210.52533999999997</v>
      </c>
    </row>
    <row r="22" spans="1:12" x14ac:dyDescent="0.3">
      <c r="B22" s="6" t="s">
        <v>17</v>
      </c>
      <c r="C22" s="6">
        <f>STDEV(C16:C20)</f>
        <v>219.17101122967441</v>
      </c>
      <c r="D22" s="6">
        <f t="shared" ref="D22:L22" si="9">STDEV(D16:D20)</f>
        <v>103.04042414272864</v>
      </c>
      <c r="E22" s="6">
        <f t="shared" si="9"/>
        <v>73.267351709079733</v>
      </c>
      <c r="F22" s="6">
        <f t="shared" si="9"/>
        <v>63.22198173641825</v>
      </c>
      <c r="G22" s="6"/>
      <c r="H22" s="6"/>
      <c r="I22" s="6">
        <f t="shared" si="9"/>
        <v>140.67146581221425</v>
      </c>
      <c r="J22" s="6">
        <f t="shared" si="9"/>
        <v>135.34010454569494</v>
      </c>
      <c r="K22" s="6">
        <f t="shared" si="9"/>
        <v>136.00448751919168</v>
      </c>
      <c r="L22" s="6">
        <f t="shared" si="9"/>
        <v>108.42270454009171</v>
      </c>
    </row>
    <row r="26" spans="1:12" x14ac:dyDescent="0.3">
      <c r="A26" s="18" t="s">
        <v>164</v>
      </c>
      <c r="C26" s="24" t="s">
        <v>65</v>
      </c>
      <c r="D26" s="24"/>
      <c r="E26" s="24"/>
      <c r="F26" s="24"/>
      <c r="H26" s="24" t="s">
        <v>66</v>
      </c>
      <c r="I26" s="24"/>
      <c r="J26" s="24"/>
      <c r="K26" s="24"/>
    </row>
    <row r="27" spans="1:12" x14ac:dyDescent="0.3">
      <c r="B27" s="19" t="s">
        <v>168</v>
      </c>
      <c r="C27" s="8" t="s">
        <v>15</v>
      </c>
      <c r="D27" s="8" t="s">
        <v>67</v>
      </c>
      <c r="E27" s="8" t="s">
        <v>166</v>
      </c>
      <c r="F27" s="8" t="s">
        <v>187</v>
      </c>
      <c r="H27" s="8" t="s">
        <v>15</v>
      </c>
      <c r="I27" s="8" t="s">
        <v>67</v>
      </c>
      <c r="J27" s="8" t="s">
        <v>166</v>
      </c>
      <c r="K27" s="8" t="s">
        <v>187</v>
      </c>
    </row>
    <row r="28" spans="1:12" x14ac:dyDescent="0.3">
      <c r="C28" s="8">
        <v>0.94338971349672096</v>
      </c>
      <c r="D28" s="8">
        <v>0.64118053158439803</v>
      </c>
      <c r="E28" s="8">
        <v>0.415084570245081</v>
      </c>
      <c r="F28" s="8">
        <v>0.259406282361063</v>
      </c>
      <c r="H28" s="8">
        <v>1.04382725959223</v>
      </c>
      <c r="I28" s="8">
        <v>0.71086851822122299</v>
      </c>
      <c r="J28" s="8">
        <v>0.51452881682453</v>
      </c>
      <c r="K28" s="8">
        <v>0.21255418205169399</v>
      </c>
    </row>
    <row r="29" spans="1:12" x14ac:dyDescent="0.3">
      <c r="C29" s="8">
        <v>1.03762512944425</v>
      </c>
      <c r="D29" s="8">
        <v>0.72540559199171595</v>
      </c>
      <c r="E29" s="8">
        <v>0.46272005522954801</v>
      </c>
      <c r="F29" s="8">
        <v>0.190541939937867</v>
      </c>
      <c r="H29" s="8">
        <v>1.00305024883609</v>
      </c>
      <c r="I29" s="8">
        <v>0.61245785840423805</v>
      </c>
      <c r="J29" s="8">
        <v>0.45528977363942902</v>
      </c>
      <c r="K29" s="8">
        <v>0.257023599293627</v>
      </c>
    </row>
    <row r="30" spans="1:12" x14ac:dyDescent="0.3">
      <c r="C30" s="8">
        <v>1.01898515705903</v>
      </c>
      <c r="D30" s="8">
        <v>0.70365895754228502</v>
      </c>
      <c r="E30" s="8">
        <v>0.35709354504660001</v>
      </c>
      <c r="F30" s="8">
        <v>0.21505005177770101</v>
      </c>
      <c r="H30" s="8">
        <v>0.95312249157168105</v>
      </c>
      <c r="I30" s="8">
        <v>0.58323968534275195</v>
      </c>
      <c r="J30" s="8">
        <v>0.40327500401348498</v>
      </c>
      <c r="K30" s="8">
        <v>0.23840102745224001</v>
      </c>
    </row>
    <row r="31" spans="1:12" x14ac:dyDescent="0.3">
      <c r="B31" s="6" t="s">
        <v>16</v>
      </c>
      <c r="C31" s="6">
        <f>AVERAGE(C28:C30)</f>
        <v>1.0000000000000002</v>
      </c>
      <c r="D31" s="6">
        <f t="shared" ref="D31:K31" si="10">AVERAGE(D28:D30)</f>
        <v>0.69008169370613304</v>
      </c>
      <c r="E31" s="6">
        <f t="shared" si="10"/>
        <v>0.4116327235070763</v>
      </c>
      <c r="F31" s="6">
        <f t="shared" si="10"/>
        <v>0.22166609135887702</v>
      </c>
      <c r="G31" s="6"/>
      <c r="H31" s="6">
        <f t="shared" si="10"/>
        <v>1.0000000000000004</v>
      </c>
      <c r="I31" s="6">
        <f t="shared" si="10"/>
        <v>0.635522020656071</v>
      </c>
      <c r="J31" s="6">
        <f t="shared" si="10"/>
        <v>0.4576978648258147</v>
      </c>
      <c r="K31" s="6">
        <f t="shared" si="10"/>
        <v>0.23599293626585369</v>
      </c>
    </row>
    <row r="32" spans="1:12" x14ac:dyDescent="0.3">
      <c r="B32" s="6" t="s">
        <v>17</v>
      </c>
      <c r="C32" s="6">
        <f>STDEV(C28:C30)</f>
        <v>4.9903963230568893E-2</v>
      </c>
      <c r="D32" s="6">
        <f t="shared" ref="D32:K32" si="11">STDEV(D28:D30)</f>
        <v>4.3723240617678939E-2</v>
      </c>
      <c r="E32" s="6">
        <f t="shared" si="11"/>
        <v>5.2897791520857655E-2</v>
      </c>
      <c r="F32" s="6">
        <f t="shared" si="11"/>
        <v>3.4905635635947868E-2</v>
      </c>
      <c r="G32" s="6"/>
      <c r="H32" s="6">
        <f t="shared" si="11"/>
        <v>4.5429249926528054E-2</v>
      </c>
      <c r="I32" s="6">
        <f t="shared" si="11"/>
        <v>6.6867379421989684E-2</v>
      </c>
      <c r="J32" s="6">
        <f t="shared" si="11"/>
        <v>5.5665985068264284E-2</v>
      </c>
      <c r="K32" s="6">
        <f t="shared" si="11"/>
        <v>2.2332296004458341E-2</v>
      </c>
    </row>
    <row r="34" spans="2:11" x14ac:dyDescent="0.3">
      <c r="C34" s="24" t="s">
        <v>65</v>
      </c>
      <c r="D34" s="24"/>
      <c r="E34" s="24"/>
      <c r="F34" s="24"/>
      <c r="H34" s="24" t="s">
        <v>66</v>
      </c>
      <c r="I34" s="24"/>
      <c r="J34" s="24"/>
      <c r="K34" s="24"/>
    </row>
    <row r="35" spans="2:11" x14ac:dyDescent="0.3">
      <c r="B35" s="19" t="s">
        <v>169</v>
      </c>
      <c r="C35" s="8" t="s">
        <v>15</v>
      </c>
      <c r="D35" s="8" t="s">
        <v>67</v>
      </c>
      <c r="E35" s="8" t="s">
        <v>166</v>
      </c>
      <c r="F35" s="8" t="s">
        <v>187</v>
      </c>
      <c r="H35" s="8" t="s">
        <v>15</v>
      </c>
      <c r="I35" s="8" t="s">
        <v>67</v>
      </c>
      <c r="J35" s="8" t="s">
        <v>166</v>
      </c>
      <c r="K35" s="8" t="s">
        <v>187</v>
      </c>
    </row>
    <row r="36" spans="2:11" x14ac:dyDescent="0.3">
      <c r="C36" s="8">
        <v>0.98260263917231605</v>
      </c>
      <c r="D36" s="8">
        <v>0.59211477339500995</v>
      </c>
      <c r="E36" s="8">
        <v>0.59230250794586503</v>
      </c>
      <c r="F36" s="8">
        <v>0.238047410483473</v>
      </c>
      <c r="H36" s="8">
        <v>0.96731059741660796</v>
      </c>
      <c r="I36" s="8">
        <v>0.78965285072788804</v>
      </c>
      <c r="J36" s="8">
        <v>0.63217491178406504</v>
      </c>
      <c r="K36" s="8">
        <v>0.211982279488451</v>
      </c>
    </row>
    <row r="37" spans="2:11" x14ac:dyDescent="0.3">
      <c r="C37" s="8">
        <v>1.09073774046449</v>
      </c>
      <c r="D37" s="8">
        <v>0.70813472582307502</v>
      </c>
      <c r="E37" s="8">
        <v>0.46407980971225898</v>
      </c>
      <c r="F37" s="8">
        <v>0.19036283456643599</v>
      </c>
      <c r="H37" s="8">
        <v>1.0874464622156701</v>
      </c>
      <c r="I37" s="8">
        <v>0.67385470161230998</v>
      </c>
      <c r="J37" s="8">
        <v>0.69554328002972299</v>
      </c>
      <c r="K37" s="8">
        <v>0.168416526319561</v>
      </c>
    </row>
    <row r="38" spans="2:11" x14ac:dyDescent="0.3">
      <c r="C38" s="8">
        <v>0.926657743017683</v>
      </c>
      <c r="D38" s="8">
        <v>0.65951147715176694</v>
      </c>
      <c r="E38" s="8">
        <v>0.51908603311262003</v>
      </c>
      <c r="F38" s="8">
        <v>0.30187715777399399</v>
      </c>
      <c r="H38" s="8">
        <v>0.94524482633106599</v>
      </c>
      <c r="I38" s="8">
        <v>0.74137218920738601</v>
      </c>
      <c r="J38" s="8">
        <v>0.56842935087027802</v>
      </c>
      <c r="K38" s="8">
        <v>0.25403926198482601</v>
      </c>
    </row>
    <row r="39" spans="2:11" x14ac:dyDescent="0.3">
      <c r="B39" s="6" t="s">
        <v>16</v>
      </c>
      <c r="C39" s="6">
        <f>AVERAGE(C36:C38)</f>
        <v>0.99999937421816298</v>
      </c>
      <c r="D39" s="6">
        <f t="shared" ref="D39:K39" si="12">AVERAGE(D36:D38)</f>
        <v>0.65325365878995068</v>
      </c>
      <c r="E39" s="6">
        <f t="shared" si="12"/>
        <v>0.52515611692358133</v>
      </c>
      <c r="F39" s="6">
        <f t="shared" si="12"/>
        <v>0.24342913427463433</v>
      </c>
      <c r="G39" s="6"/>
      <c r="H39" s="6">
        <f t="shared" si="12"/>
        <v>1.0000006286544481</v>
      </c>
      <c r="I39" s="6">
        <f t="shared" si="12"/>
        <v>0.73495991384919457</v>
      </c>
      <c r="J39" s="6">
        <f t="shared" si="12"/>
        <v>0.63204918089468864</v>
      </c>
      <c r="K39" s="6">
        <f t="shared" si="12"/>
        <v>0.21147935593094602</v>
      </c>
    </row>
    <row r="40" spans="2:11" x14ac:dyDescent="0.3">
      <c r="B40" s="6" t="s">
        <v>17</v>
      </c>
      <c r="C40" s="6">
        <f>STDEV(C36:C38)</f>
        <v>8.3411906723366541E-2</v>
      </c>
      <c r="D40" s="6">
        <f t="shared" ref="D40:K40" si="13">STDEV(D36:D38)</f>
        <v>5.8262574250883679E-2</v>
      </c>
      <c r="E40" s="6">
        <f t="shared" si="13"/>
        <v>6.4326507162138613E-2</v>
      </c>
      <c r="F40" s="6">
        <f t="shared" si="13"/>
        <v>5.5951615556060548E-2</v>
      </c>
      <c r="G40" s="6"/>
      <c r="H40" s="6">
        <f t="shared" si="13"/>
        <v>7.6529764920667306E-2</v>
      </c>
      <c r="I40" s="6">
        <f t="shared" si="13"/>
        <v>5.8164772767546884E-2</v>
      </c>
      <c r="J40" s="6">
        <f t="shared" si="13"/>
        <v>6.3557057851827178E-2</v>
      </c>
      <c r="K40" s="6">
        <f t="shared" si="13"/>
        <v>4.2813583297587471E-2</v>
      </c>
    </row>
    <row r="43" spans="2:11" x14ac:dyDescent="0.3">
      <c r="C43" s="24" t="s">
        <v>65</v>
      </c>
      <c r="D43" s="24"/>
      <c r="E43" s="24"/>
      <c r="F43" s="24"/>
      <c r="H43" s="24" t="s">
        <v>66</v>
      </c>
      <c r="I43" s="24"/>
      <c r="J43" s="24"/>
      <c r="K43" s="24"/>
    </row>
    <row r="44" spans="2:11" x14ac:dyDescent="0.3">
      <c r="B44" s="19" t="s">
        <v>68</v>
      </c>
      <c r="C44" s="8" t="s">
        <v>15</v>
      </c>
      <c r="D44" s="8" t="s">
        <v>67</v>
      </c>
      <c r="E44" s="8" t="s">
        <v>166</v>
      </c>
      <c r="F44" s="8" t="s">
        <v>187</v>
      </c>
      <c r="H44" s="8" t="s">
        <v>15</v>
      </c>
      <c r="I44" s="8" t="s">
        <v>67</v>
      </c>
      <c r="J44" s="8" t="s">
        <v>166</v>
      </c>
      <c r="K44" s="8" t="s">
        <v>187</v>
      </c>
    </row>
    <row r="45" spans="2:11" x14ac:dyDescent="0.3">
      <c r="C45" s="8">
        <v>1.112795</v>
      </c>
      <c r="D45" s="8">
        <v>0.82921</v>
      </c>
      <c r="E45" s="8">
        <v>0.49668299999999999</v>
      </c>
      <c r="F45" s="8">
        <v>0.32128699999999999</v>
      </c>
      <c r="H45" s="8">
        <v>1.1093770000000001</v>
      </c>
      <c r="I45" s="8">
        <v>0.78419899999999998</v>
      </c>
      <c r="J45" s="8">
        <v>0.47356399999999998</v>
      </c>
      <c r="K45" s="8">
        <v>0.35131000000000001</v>
      </c>
    </row>
    <row r="46" spans="2:11" x14ac:dyDescent="0.3">
      <c r="C46" s="8">
        <v>0.99172700000000003</v>
      </c>
      <c r="D46" s="8">
        <v>0.84981700000000004</v>
      </c>
      <c r="E46" s="8">
        <v>0.45991799999999999</v>
      </c>
      <c r="F46" s="8">
        <v>0.26883200000000002</v>
      </c>
      <c r="H46" s="8">
        <v>0.997803</v>
      </c>
      <c r="I46" s="8">
        <v>0.73102500000000004</v>
      </c>
      <c r="J46" s="8">
        <v>0.52900999999999998</v>
      </c>
      <c r="K46" s="8">
        <v>0.27745799999999998</v>
      </c>
    </row>
    <row r="47" spans="2:11" x14ac:dyDescent="0.3">
      <c r="C47" s="8">
        <v>0.89548099999999997</v>
      </c>
      <c r="D47" s="8">
        <v>0.67348399999999997</v>
      </c>
      <c r="E47" s="8">
        <v>0.55663099999999999</v>
      </c>
      <c r="F47" s="8">
        <v>0.21918699999999999</v>
      </c>
      <c r="H47" s="8">
        <v>0.89281900000000003</v>
      </c>
      <c r="I47" s="8">
        <v>0.88554699999999997</v>
      </c>
      <c r="J47" s="8">
        <v>0.40880100000000003</v>
      </c>
      <c r="K47" s="8">
        <v>0.24223600000000001</v>
      </c>
    </row>
    <row r="48" spans="2:11" x14ac:dyDescent="0.3">
      <c r="B48" s="6" t="s">
        <v>16</v>
      </c>
      <c r="C48" s="6">
        <f>AVERAGE(C45:C47)</f>
        <v>1.0000010000000001</v>
      </c>
      <c r="D48" s="6">
        <f t="shared" ref="D48:K48" si="14">AVERAGE(D45:D47)</f>
        <v>0.7841703333333333</v>
      </c>
      <c r="E48" s="6">
        <f t="shared" si="14"/>
        <v>0.50441066666666667</v>
      </c>
      <c r="F48" s="6">
        <f t="shared" si="14"/>
        <v>0.26976866666666671</v>
      </c>
      <c r="G48" s="6"/>
      <c r="H48" s="6">
        <f t="shared" si="14"/>
        <v>0.99999966666666662</v>
      </c>
      <c r="I48" s="6">
        <f t="shared" si="14"/>
        <v>0.80025699999999989</v>
      </c>
      <c r="J48" s="6">
        <f t="shared" si="14"/>
        <v>0.47045833333333337</v>
      </c>
      <c r="K48" s="6">
        <f t="shared" si="14"/>
        <v>0.29033466666666669</v>
      </c>
    </row>
    <row r="49" spans="1:11" x14ac:dyDescent="0.3">
      <c r="B49" s="6" t="s">
        <v>17</v>
      </c>
      <c r="C49" s="6">
        <f>STDEV(C45:C47)</f>
        <v>0.10889301151129947</v>
      </c>
      <c r="D49" s="6">
        <f t="shared" ref="D49:K49" si="15">STDEV(D45:D47)</f>
        <v>9.640933773412895E-2</v>
      </c>
      <c r="E49" s="6">
        <f t="shared" si="15"/>
        <v>4.8817401777781384E-2</v>
      </c>
      <c r="F49" s="6">
        <f t="shared" si="15"/>
        <v>5.1056444336962201E-2</v>
      </c>
      <c r="G49" s="6"/>
      <c r="H49" s="6">
        <f t="shared" si="15"/>
        <v>0.10829571020743774</v>
      </c>
      <c r="I49" s="6">
        <f t="shared" si="15"/>
        <v>7.8502590046443665E-2</v>
      </c>
      <c r="J49" s="6">
        <f t="shared" si="15"/>
        <v>6.0164647379780098E-2</v>
      </c>
      <c r="K49" s="6">
        <f t="shared" si="15"/>
        <v>5.5665436110151179E-2</v>
      </c>
    </row>
    <row r="53" spans="1:11" x14ac:dyDescent="0.3">
      <c r="A53" s="18" t="s">
        <v>165</v>
      </c>
      <c r="B53" s="24" t="s">
        <v>65</v>
      </c>
      <c r="C53" s="24"/>
      <c r="D53" s="24"/>
      <c r="E53" s="24"/>
      <c r="F53" s="24"/>
      <c r="G53" s="24"/>
      <c r="H53" s="24"/>
      <c r="I53" s="24"/>
      <c r="J53" s="24"/>
      <c r="K53" s="24"/>
    </row>
    <row r="54" spans="1:11" x14ac:dyDescent="0.3">
      <c r="B54" s="19" t="s">
        <v>167</v>
      </c>
      <c r="C54" s="8" t="s">
        <v>15</v>
      </c>
      <c r="D54" s="8" t="s">
        <v>67</v>
      </c>
      <c r="E54" s="8" t="s">
        <v>166</v>
      </c>
      <c r="F54" s="8" t="s">
        <v>187</v>
      </c>
      <c r="G54" s="19" t="s">
        <v>69</v>
      </c>
      <c r="H54" s="8" t="s">
        <v>15</v>
      </c>
      <c r="I54" s="8" t="s">
        <v>67</v>
      </c>
      <c r="J54" s="8" t="s">
        <v>166</v>
      </c>
      <c r="K54" s="8" t="s">
        <v>187</v>
      </c>
    </row>
    <row r="55" spans="1:11" x14ac:dyDescent="0.3">
      <c r="C55" s="8">
        <v>0.84549356223175998</v>
      </c>
      <c r="D55" s="8">
        <v>0.8068669527897</v>
      </c>
      <c r="E55" s="8">
        <v>0.389127339055794</v>
      </c>
      <c r="F55" s="8">
        <v>0.15879828326180301</v>
      </c>
      <c r="H55" s="8">
        <v>1.0801817065327799</v>
      </c>
      <c r="I55" s="8">
        <v>0.65809389683720099</v>
      </c>
      <c r="J55" s="8">
        <v>0.66717105403495502</v>
      </c>
      <c r="K55" s="8">
        <v>0.118003043570808</v>
      </c>
    </row>
    <row r="56" spans="1:11" x14ac:dyDescent="0.3">
      <c r="C56" s="8">
        <v>1.1115879828326201</v>
      </c>
      <c r="D56" s="8">
        <v>0.72389127324749603</v>
      </c>
      <c r="E56" s="8">
        <v>0.35193133047210301</v>
      </c>
      <c r="F56" s="8">
        <v>0.175965665236052</v>
      </c>
      <c r="H56" s="8">
        <v>1.1346446497193099</v>
      </c>
      <c r="I56" s="8">
        <v>0.73071115441923695</v>
      </c>
      <c r="J56" s="8">
        <v>0.60816953224955095</v>
      </c>
      <c r="K56" s="8">
        <v>0.14523451516407199</v>
      </c>
    </row>
    <row r="57" spans="1:11" x14ac:dyDescent="0.3">
      <c r="C57" s="8">
        <v>1.0429184549356201</v>
      </c>
      <c r="D57" s="8">
        <v>0.67525035765379104</v>
      </c>
      <c r="E57" s="8">
        <v>0.29756793991416303</v>
      </c>
      <c r="F57" s="8">
        <v>0.10729613733905601</v>
      </c>
      <c r="H57" s="8">
        <v>0.78517409760576395</v>
      </c>
      <c r="I57" s="8">
        <v>0.60363095365067398</v>
      </c>
      <c r="J57" s="8">
        <v>0.52647511746976094</v>
      </c>
      <c r="K57" s="8">
        <v>0.108925886373054</v>
      </c>
    </row>
    <row r="58" spans="1:11" x14ac:dyDescent="0.3">
      <c r="B58" s="6" t="s">
        <v>16</v>
      </c>
      <c r="C58" s="6">
        <f>AVERAGE(C55:C57)</f>
        <v>1</v>
      </c>
      <c r="D58" s="6">
        <f t="shared" ref="D58:K58" si="16">AVERAGE(D55:D57)</f>
        <v>0.73533619456366239</v>
      </c>
      <c r="E58" s="6">
        <f t="shared" si="16"/>
        <v>0.34620886981401999</v>
      </c>
      <c r="F58" s="6">
        <f t="shared" si="16"/>
        <v>0.147353361945637</v>
      </c>
      <c r="G58" s="6" t="s">
        <v>16</v>
      </c>
      <c r="H58" s="6">
        <f t="shared" si="16"/>
        <v>1.0000001512859511</v>
      </c>
      <c r="I58" s="6">
        <f t="shared" si="16"/>
        <v>0.66414533496903727</v>
      </c>
      <c r="J58" s="6">
        <f t="shared" si="16"/>
        <v>0.60060523458475557</v>
      </c>
      <c r="K58" s="6">
        <f t="shared" si="16"/>
        <v>0.12405448170264466</v>
      </c>
    </row>
    <row r="59" spans="1:11" x14ac:dyDescent="0.3">
      <c r="B59" s="6" t="s">
        <v>17</v>
      </c>
      <c r="C59" s="6">
        <f>STDEV(C55:C57)</f>
        <v>0.13814143295649017</v>
      </c>
      <c r="D59" s="6">
        <f t="shared" ref="D59:K59" si="17">STDEV(D55:D57)</f>
        <v>6.6550519883336545E-2</v>
      </c>
      <c r="E59" s="6">
        <f t="shared" si="17"/>
        <v>4.6047158541886478E-2</v>
      </c>
      <c r="F59" s="6">
        <f t="shared" si="17"/>
        <v>3.5736755355641865E-2</v>
      </c>
      <c r="G59" s="6" t="s">
        <v>17</v>
      </c>
      <c r="H59" s="6">
        <f t="shared" si="17"/>
        <v>0.18802720029290176</v>
      </c>
      <c r="I59" s="6">
        <f t="shared" si="17"/>
        <v>6.3755856863837612E-2</v>
      </c>
      <c r="J59" s="6">
        <f t="shared" si="17"/>
        <v>7.0652321907071811E-2</v>
      </c>
      <c r="K59" s="6">
        <f t="shared" si="17"/>
        <v>1.8895609510375E-2</v>
      </c>
    </row>
    <row r="61" spans="1:11" x14ac:dyDescent="0.3">
      <c r="B61" s="19" t="s">
        <v>70</v>
      </c>
      <c r="C61" s="8" t="s">
        <v>15</v>
      </c>
      <c r="D61" s="8" t="s">
        <v>67</v>
      </c>
      <c r="E61" s="8" t="s">
        <v>166</v>
      </c>
      <c r="F61" s="8" t="s">
        <v>187</v>
      </c>
      <c r="G61" s="19" t="s">
        <v>71</v>
      </c>
      <c r="H61" s="8" t="s">
        <v>15</v>
      </c>
      <c r="I61" s="8" t="s">
        <v>67</v>
      </c>
      <c r="J61" s="8" t="s">
        <v>166</v>
      </c>
      <c r="K61" s="8" t="s">
        <v>187</v>
      </c>
    </row>
    <row r="62" spans="1:11" x14ac:dyDescent="0.3">
      <c r="C62" s="8">
        <v>0.97183115701252798</v>
      </c>
      <c r="D62" s="8">
        <v>0.83450718917380096</v>
      </c>
      <c r="E62" s="8">
        <v>0.53873248921346595</v>
      </c>
      <c r="F62" s="8">
        <v>7.9225366060803895E-2</v>
      </c>
      <c r="H62" s="8">
        <v>1.1315906026875899</v>
      </c>
      <c r="I62" s="8">
        <v>0.73005845334683095</v>
      </c>
      <c r="J62" s="8">
        <v>0.63271732623392096</v>
      </c>
      <c r="K62" s="8">
        <v>0.27174397985687598</v>
      </c>
    </row>
    <row r="63" spans="1:11" x14ac:dyDescent="0.3">
      <c r="C63" s="8">
        <v>1.15140865341702</v>
      </c>
      <c r="D63" s="8">
        <v>0.66901420229123298</v>
      </c>
      <c r="E63" s="8">
        <v>0.51232403385986502</v>
      </c>
      <c r="F63" s="8">
        <v>0.14260565890944699</v>
      </c>
      <c r="H63" s="8">
        <v>1.11131120120573</v>
      </c>
      <c r="I63" s="8">
        <v>0.904461306090797</v>
      </c>
      <c r="J63" s="8">
        <v>0.586750818071056</v>
      </c>
      <c r="K63" s="8">
        <v>0.22307341630042099</v>
      </c>
    </row>
    <row r="64" spans="1:11" x14ac:dyDescent="0.3">
      <c r="C64" s="8">
        <v>0.87676071773956299</v>
      </c>
      <c r="D64" s="8">
        <v>0.60563390944258999</v>
      </c>
      <c r="E64" s="8">
        <v>0.44894374101122198</v>
      </c>
      <c r="F64" s="8">
        <v>0.11619720355584599</v>
      </c>
      <c r="H64" s="8">
        <v>0.75709765532263995</v>
      </c>
      <c r="I64" s="8">
        <v>0.82739958045974205</v>
      </c>
      <c r="J64" s="8">
        <v>0.45966629839273598</v>
      </c>
      <c r="K64" s="8">
        <v>0.117620528594767</v>
      </c>
    </row>
    <row r="65" spans="2:11" x14ac:dyDescent="0.3">
      <c r="B65" s="6" t="s">
        <v>16</v>
      </c>
      <c r="C65" s="6">
        <f>AVERAGE(C62:C64)</f>
        <v>1.0000001760563704</v>
      </c>
      <c r="D65" s="6">
        <f t="shared" ref="D65:K65" si="18">AVERAGE(D62:D64)</f>
        <v>0.7030517669692079</v>
      </c>
      <c r="E65" s="6">
        <f t="shared" si="18"/>
        <v>0.5000000880281843</v>
      </c>
      <c r="F65" s="6">
        <f t="shared" si="18"/>
        <v>0.11267607617536562</v>
      </c>
      <c r="G65" s="6" t="s">
        <v>16</v>
      </c>
      <c r="H65" s="6">
        <f t="shared" si="18"/>
        <v>0.99999981973865326</v>
      </c>
      <c r="I65" s="6">
        <f t="shared" si="18"/>
        <v>0.82063977996578996</v>
      </c>
      <c r="J65" s="6">
        <f t="shared" si="18"/>
        <v>0.55971148089923761</v>
      </c>
      <c r="K65" s="6">
        <f t="shared" si="18"/>
        <v>0.20414597491735464</v>
      </c>
    </row>
    <row r="66" spans="2:11" x14ac:dyDescent="0.3">
      <c r="B66" s="6" t="s">
        <v>17</v>
      </c>
      <c r="C66" s="6">
        <f>STDEV(C62:C64)</f>
        <v>0.13947398455766397</v>
      </c>
      <c r="D66" s="6">
        <f t="shared" ref="D66:K66" si="19">STDEV(D62:D64)</f>
        <v>0.11817216846887432</v>
      </c>
      <c r="E66" s="6">
        <f t="shared" si="19"/>
        <v>4.6145580032958114E-2</v>
      </c>
      <c r="F66" s="6">
        <f t="shared" si="19"/>
        <v>3.1836522013516465E-2</v>
      </c>
      <c r="G66" s="6" t="s">
        <v>17</v>
      </c>
      <c r="H66" s="6">
        <f t="shared" si="19"/>
        <v>0.21060367907423638</v>
      </c>
      <c r="I66" s="6">
        <f t="shared" si="19"/>
        <v>8.7397711287807198E-2</v>
      </c>
      <c r="J66" s="6">
        <f t="shared" si="19"/>
        <v>8.9638211022092712E-2</v>
      </c>
      <c r="K66" s="6">
        <f t="shared" si="19"/>
        <v>7.8785757502342915E-2</v>
      </c>
    </row>
    <row r="68" spans="2:11" x14ac:dyDescent="0.3">
      <c r="B68" s="19" t="s">
        <v>72</v>
      </c>
      <c r="C68" s="8" t="s">
        <v>15</v>
      </c>
      <c r="D68" s="8" t="s">
        <v>67</v>
      </c>
      <c r="E68" s="8" t="s">
        <v>166</v>
      </c>
      <c r="F68" s="8" t="s">
        <v>187</v>
      </c>
      <c r="G68" s="19" t="s">
        <v>73</v>
      </c>
      <c r="H68" s="8" t="s">
        <v>15</v>
      </c>
      <c r="I68" s="8" t="s">
        <v>67</v>
      </c>
      <c r="J68" s="8" t="s">
        <v>166</v>
      </c>
      <c r="K68" s="8" t="s">
        <v>187</v>
      </c>
    </row>
    <row r="69" spans="2:11" x14ac:dyDescent="0.3">
      <c r="C69" s="8">
        <v>1.2150708343910299</v>
      </c>
      <c r="D69" s="8">
        <v>0.81004722292735098</v>
      </c>
      <c r="E69" s="8">
        <v>0.57927795593060505</v>
      </c>
      <c r="F69" s="8">
        <v>0.175824187727502</v>
      </c>
      <c r="H69" s="8">
        <v>1.0951758676433001</v>
      </c>
      <c r="I69" s="8">
        <v>0.715775656352587</v>
      </c>
      <c r="J69" s="8">
        <v>0.62320708954275195</v>
      </c>
      <c r="K69" s="8">
        <v>0.27640154153826102</v>
      </c>
    </row>
    <row r="70" spans="2:11" x14ac:dyDescent="0.3">
      <c r="C70" s="8">
        <v>1.0125590286591899</v>
      </c>
      <c r="D70" s="8">
        <v>0.649921609092874</v>
      </c>
      <c r="E70" s="8">
        <v>0.53689176403324401</v>
      </c>
      <c r="F70" s="8">
        <v>0.14442703994145101</v>
      </c>
      <c r="H70" s="8">
        <v>1.05997378618334</v>
      </c>
      <c r="I70" s="8">
        <v>0.82529324311691699</v>
      </c>
      <c r="J70" s="8">
        <v>0.59973903523611005</v>
      </c>
      <c r="K70" s="8">
        <v>0.336375445061872</v>
      </c>
    </row>
    <row r="71" spans="2:11" x14ac:dyDescent="0.3">
      <c r="C71" s="8">
        <v>0.77237060790747403</v>
      </c>
      <c r="D71" s="8">
        <v>0.57456837905312097</v>
      </c>
      <c r="E71" s="8">
        <v>0.35321826581134502</v>
      </c>
      <c r="F71" s="8">
        <v>9.1051803932779299E-2</v>
      </c>
      <c r="H71" s="8">
        <v>0.84484995503911897</v>
      </c>
      <c r="I71" s="8">
        <v>0.58670135766605502</v>
      </c>
      <c r="J71" s="8">
        <v>0.43546265508961501</v>
      </c>
      <c r="K71" s="8">
        <v>0.25032591260418402</v>
      </c>
    </row>
    <row r="72" spans="2:11" x14ac:dyDescent="0.3">
      <c r="B72" s="6" t="s">
        <v>16</v>
      </c>
      <c r="C72" s="6">
        <f>AVERAGE(C69:C71)</f>
        <v>1.0000001569858981</v>
      </c>
      <c r="D72" s="6">
        <f t="shared" ref="D72:K72" si="20">AVERAGE(D69:D71)</f>
        <v>0.67817907035778202</v>
      </c>
      <c r="E72" s="6">
        <f t="shared" si="20"/>
        <v>0.48979599525839806</v>
      </c>
      <c r="F72" s="6">
        <f t="shared" si="20"/>
        <v>0.13710101053391074</v>
      </c>
      <c r="G72" s="6" t="s">
        <v>16</v>
      </c>
      <c r="H72" s="6">
        <f t="shared" si="20"/>
        <v>0.99999986962191967</v>
      </c>
      <c r="I72" s="6">
        <f t="shared" si="20"/>
        <v>0.70925675237851971</v>
      </c>
      <c r="J72" s="6">
        <f t="shared" si="20"/>
        <v>0.55280292662282571</v>
      </c>
      <c r="K72" s="6">
        <f t="shared" si="20"/>
        <v>0.287700966401439</v>
      </c>
    </row>
    <row r="73" spans="2:11" x14ac:dyDescent="0.3">
      <c r="B73" s="6" t="s">
        <v>17</v>
      </c>
      <c r="C73" s="6">
        <f>STDEV(C69:C71)</f>
        <v>0.22161716218611621</v>
      </c>
      <c r="D73" s="6">
        <f t="shared" ref="D73:K73" si="21">STDEV(D69:D71)</f>
        <v>0.12025570492055326</v>
      </c>
      <c r="E73" s="6">
        <f t="shared" si="21"/>
        <v>0.12016344890013057</v>
      </c>
      <c r="F73" s="6">
        <f t="shared" si="21"/>
        <v>4.2858398170254296E-2</v>
      </c>
      <c r="G73" s="6" t="s">
        <v>17</v>
      </c>
      <c r="H73" s="6">
        <f t="shared" si="21"/>
        <v>0.13551169186113118</v>
      </c>
      <c r="I73" s="6">
        <f t="shared" si="21"/>
        <v>0.11942945211511539</v>
      </c>
      <c r="J73" s="6">
        <f t="shared" si="21"/>
        <v>0.10229487712417763</v>
      </c>
      <c r="K73" s="6">
        <f t="shared" si="21"/>
        <v>4.4123556755157778E-2</v>
      </c>
    </row>
    <row r="75" spans="2:11" x14ac:dyDescent="0.3">
      <c r="B75" s="19" t="s">
        <v>74</v>
      </c>
      <c r="C75" s="8" t="s">
        <v>15</v>
      </c>
      <c r="D75" s="8" t="s">
        <v>67</v>
      </c>
      <c r="E75" s="8" t="s">
        <v>166</v>
      </c>
      <c r="F75" s="8" t="s">
        <v>187</v>
      </c>
      <c r="G75" s="19" t="s">
        <v>75</v>
      </c>
      <c r="H75" s="8" t="s">
        <v>15</v>
      </c>
      <c r="I75" s="8" t="s">
        <v>67</v>
      </c>
      <c r="J75" s="8" t="s">
        <v>166</v>
      </c>
      <c r="K75" s="8" t="s">
        <v>187</v>
      </c>
    </row>
    <row r="76" spans="2:11" x14ac:dyDescent="0.3">
      <c r="C76" s="8">
        <v>1.04863237821161</v>
      </c>
      <c r="D76" s="8">
        <v>0.79635285658858002</v>
      </c>
      <c r="E76" s="8">
        <v>0.40729487952809701</v>
      </c>
      <c r="F76" s="8">
        <v>0.176291835302711</v>
      </c>
      <c r="H76" s="8">
        <v>1.11083109435377</v>
      </c>
      <c r="I76" s="8">
        <v>0.85012583751563797</v>
      </c>
      <c r="J76" s="8">
        <v>0.55163721012125799</v>
      </c>
      <c r="K76" s="8">
        <v>0.28715361622750402</v>
      </c>
    </row>
    <row r="77" spans="2:11" x14ac:dyDescent="0.3">
      <c r="C77" s="8">
        <v>1.0896658190981501</v>
      </c>
      <c r="D77" s="8">
        <v>0.77203643951921597</v>
      </c>
      <c r="E77" s="8">
        <v>0.31914898467309799</v>
      </c>
      <c r="F77" s="8">
        <v>0.19148939080385899</v>
      </c>
      <c r="H77" s="8">
        <v>1.06171271263064</v>
      </c>
      <c r="I77" s="8">
        <v>0.77833743345876205</v>
      </c>
      <c r="J77" s="8">
        <v>0.585642243621884</v>
      </c>
      <c r="K77" s="8">
        <v>0.29848862739437898</v>
      </c>
    </row>
    <row r="78" spans="2:11" x14ac:dyDescent="0.3">
      <c r="C78" s="8">
        <v>0.86170225861736405</v>
      </c>
      <c r="D78" s="8">
        <v>0.53799400273465103</v>
      </c>
      <c r="E78" s="8">
        <v>0.44984810787965201</v>
      </c>
      <c r="F78" s="8">
        <v>9.4224953529628203E-2</v>
      </c>
      <c r="H78" s="8">
        <v>0.82745581518188704</v>
      </c>
      <c r="I78" s="8">
        <v>0.65743064767876003</v>
      </c>
      <c r="J78" s="8">
        <v>0.49118381723125698</v>
      </c>
      <c r="K78" s="8">
        <v>0.16624683044750199</v>
      </c>
    </row>
    <row r="79" spans="2:11" x14ac:dyDescent="0.3">
      <c r="B79" s="6" t="s">
        <v>16</v>
      </c>
      <c r="C79" s="6">
        <f>AVERAGE(C76:C78)</f>
        <v>1.0000001519757082</v>
      </c>
      <c r="D79" s="6">
        <f t="shared" ref="D79:K79" si="22">AVERAGE(D76:D78)</f>
        <v>0.70212776628081564</v>
      </c>
      <c r="E79" s="6">
        <f t="shared" si="22"/>
        <v>0.39209732402694897</v>
      </c>
      <c r="F79" s="6">
        <f t="shared" si="22"/>
        <v>0.15400205987873272</v>
      </c>
      <c r="G79" s="6" t="s">
        <v>16</v>
      </c>
      <c r="H79" s="6">
        <f t="shared" si="22"/>
        <v>0.99999987405543234</v>
      </c>
      <c r="I79" s="6">
        <f t="shared" si="22"/>
        <v>0.76196463955105331</v>
      </c>
      <c r="J79" s="6">
        <f t="shared" si="22"/>
        <v>0.54282109032479975</v>
      </c>
      <c r="K79" s="6">
        <f t="shared" si="22"/>
        <v>0.25062969135646168</v>
      </c>
    </row>
    <row r="80" spans="2:11" x14ac:dyDescent="0.3">
      <c r="B80" s="6" t="s">
        <v>17</v>
      </c>
      <c r="C80" s="6">
        <f>STDEV(C76:C78)</f>
        <v>0.12151405802730897</v>
      </c>
      <c r="D80" s="6">
        <f t="shared" ref="D80:K80" si="23">STDEV(D76:D78)</f>
        <v>0.14266303405803518</v>
      </c>
      <c r="E80" s="6">
        <f t="shared" si="23"/>
        <v>6.6661754189703243E-2</v>
      </c>
      <c r="F80" s="6">
        <f t="shared" si="23"/>
        <v>5.2323209533692981E-2</v>
      </c>
      <c r="G80" s="6" t="s">
        <v>17</v>
      </c>
      <c r="H80" s="6">
        <f t="shared" si="23"/>
        <v>0.15143230515709971</v>
      </c>
      <c r="I80" s="6">
        <f t="shared" si="23"/>
        <v>9.7385370214555025E-2</v>
      </c>
      <c r="J80" s="6">
        <f t="shared" si="23"/>
        <v>4.7842361514117422E-2</v>
      </c>
      <c r="K80" s="6">
        <f t="shared" si="23"/>
        <v>7.329714203789886E-2</v>
      </c>
    </row>
  </sheetData>
  <mergeCells count="19">
    <mergeCell ref="C43:F43"/>
    <mergeCell ref="H43:K43"/>
    <mergeCell ref="B53:K53"/>
    <mergeCell ref="C14:F14"/>
    <mergeCell ref="I14:L14"/>
    <mergeCell ref="C26:F26"/>
    <mergeCell ref="H26:K26"/>
    <mergeCell ref="C34:F34"/>
    <mergeCell ref="H34:K34"/>
    <mergeCell ref="B1:N1"/>
    <mergeCell ref="P1:AB1"/>
    <mergeCell ref="C2:E2"/>
    <mergeCell ref="F2:H2"/>
    <mergeCell ref="I2:K2"/>
    <mergeCell ref="L2:N2"/>
    <mergeCell ref="Q2:S2"/>
    <mergeCell ref="T2:V2"/>
    <mergeCell ref="W2:Y2"/>
    <mergeCell ref="Z2:AB2"/>
  </mergeCells>
  <phoneticPr fontId="10" type="noConversion"/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60952-199E-43BB-8C94-7AADC20FBDC2}">
  <dimension ref="A3:S25"/>
  <sheetViews>
    <sheetView workbookViewId="0">
      <selection activeCell="L22" sqref="L22"/>
    </sheetView>
  </sheetViews>
  <sheetFormatPr defaultRowHeight="13.9" x14ac:dyDescent="0.3"/>
  <cols>
    <col min="1" max="1" width="14" style="2" customWidth="1"/>
    <col min="2" max="2" width="6.33203125" customWidth="1"/>
    <col min="3" max="3" width="12.59765625" style="2" customWidth="1"/>
    <col min="4" max="9" width="9.06640625" style="2"/>
    <col min="12" max="12" width="10.796875" customWidth="1"/>
    <col min="13" max="13" width="11.46484375" style="2" customWidth="1"/>
    <col min="14" max="19" width="9.06640625" style="2"/>
  </cols>
  <sheetData>
    <row r="3" spans="3:19" x14ac:dyDescent="0.3">
      <c r="D3" s="21" t="s">
        <v>82</v>
      </c>
      <c r="E3" s="21"/>
      <c r="F3" s="21"/>
      <c r="G3" s="21"/>
      <c r="H3" s="21"/>
      <c r="I3" s="21"/>
      <c r="N3" s="21" t="s">
        <v>83</v>
      </c>
      <c r="O3" s="21"/>
      <c r="P3" s="21"/>
      <c r="Q3" s="21"/>
      <c r="R3" s="21"/>
      <c r="S3" s="21"/>
    </row>
    <row r="4" spans="3:19" x14ac:dyDescent="0.3">
      <c r="C4" s="16" t="s">
        <v>183</v>
      </c>
      <c r="D4" s="22" t="s">
        <v>77</v>
      </c>
      <c r="E4" s="22"/>
      <c r="F4" s="22"/>
      <c r="G4" s="22"/>
      <c r="H4" s="22"/>
      <c r="I4" s="22"/>
      <c r="M4" s="16" t="s">
        <v>184</v>
      </c>
      <c r="N4" s="22" t="s">
        <v>77</v>
      </c>
      <c r="O4" s="22"/>
      <c r="P4" s="22"/>
      <c r="Q4" s="22"/>
      <c r="R4" s="22"/>
      <c r="S4" s="22"/>
    </row>
    <row r="5" spans="3:19" x14ac:dyDescent="0.3">
      <c r="D5" s="14" t="s">
        <v>181</v>
      </c>
      <c r="E5" s="2">
        <v>69.320160000000001</v>
      </c>
      <c r="F5" s="2">
        <v>113.256</v>
      </c>
      <c r="G5" s="2">
        <v>81.153800000000004</v>
      </c>
      <c r="H5" s="2">
        <v>120.7003</v>
      </c>
      <c r="I5" s="2">
        <v>98.425600000000003</v>
      </c>
      <c r="N5" s="14" t="s">
        <v>181</v>
      </c>
      <c r="O5" s="2">
        <v>170.71809999999999</v>
      </c>
      <c r="P5" s="2">
        <v>105.39100000000001</v>
      </c>
      <c r="Q5" s="2">
        <v>40.205880000000001</v>
      </c>
      <c r="R5" s="2">
        <v>94.887519999999995</v>
      </c>
      <c r="S5" s="2">
        <v>113.7032</v>
      </c>
    </row>
    <row r="6" spans="3:19" x14ac:dyDescent="0.3">
      <c r="D6" s="14">
        <v>1</v>
      </c>
      <c r="E6" s="2">
        <v>557.6875</v>
      </c>
      <c r="F6" s="2">
        <v>370.1506</v>
      </c>
      <c r="G6" s="2">
        <v>365.36239999999998</v>
      </c>
      <c r="H6" s="2">
        <v>462.3091</v>
      </c>
      <c r="I6" s="2">
        <v>447.54939999999999</v>
      </c>
      <c r="N6" s="14">
        <v>1</v>
      </c>
      <c r="O6" s="2">
        <v>270.51440000000002</v>
      </c>
      <c r="P6" s="2">
        <v>477.79469999999998</v>
      </c>
      <c r="Q6" s="2">
        <v>502.15100000000001</v>
      </c>
      <c r="R6" s="2">
        <v>492.9434</v>
      </c>
      <c r="S6" s="2">
        <v>302.14179999999999</v>
      </c>
    </row>
    <row r="7" spans="3:19" x14ac:dyDescent="0.3">
      <c r="D7" s="14">
        <v>2</v>
      </c>
      <c r="E7" s="2">
        <v>887.11170000000004</v>
      </c>
      <c r="F7" s="2">
        <v>791.154</v>
      </c>
      <c r="G7" s="2">
        <v>905.62159999999994</v>
      </c>
      <c r="H7" s="2">
        <v>1326.78</v>
      </c>
      <c r="I7" s="2">
        <v>811.51199999999994</v>
      </c>
      <c r="N7" s="14">
        <v>2</v>
      </c>
      <c r="O7" s="2">
        <v>725.53729999999996</v>
      </c>
      <c r="P7" s="2">
        <v>883.47119999999995</v>
      </c>
      <c r="Q7" s="2">
        <v>936</v>
      </c>
      <c r="R7" s="2">
        <v>871.34109999999998</v>
      </c>
      <c r="S7" s="2">
        <v>1115.712</v>
      </c>
    </row>
    <row r="8" spans="3:19" x14ac:dyDescent="0.3">
      <c r="D8" s="14"/>
      <c r="N8" s="14"/>
    </row>
    <row r="9" spans="3:19" x14ac:dyDescent="0.3">
      <c r="D9" s="14"/>
      <c r="N9" s="14"/>
    </row>
    <row r="10" spans="3:19" x14ac:dyDescent="0.3">
      <c r="D10" s="22" t="s">
        <v>175</v>
      </c>
      <c r="E10" s="22"/>
      <c r="F10" s="22"/>
      <c r="G10" s="22"/>
      <c r="H10" s="22"/>
      <c r="I10" s="22"/>
      <c r="N10" s="22" t="s">
        <v>175</v>
      </c>
      <c r="O10" s="22"/>
      <c r="P10" s="22"/>
      <c r="Q10" s="22"/>
      <c r="R10" s="22"/>
      <c r="S10" s="22"/>
    </row>
    <row r="11" spans="3:19" x14ac:dyDescent="0.3">
      <c r="D11" s="14" t="s">
        <v>181</v>
      </c>
      <c r="E11" s="2">
        <v>136.44380000000001</v>
      </c>
      <c r="F11" s="2">
        <v>43.130879999999998</v>
      </c>
      <c r="G11" s="2">
        <v>76.869</v>
      </c>
      <c r="H11" s="2">
        <v>114.96420000000001</v>
      </c>
      <c r="I11" s="2">
        <v>84.724639999999994</v>
      </c>
      <c r="N11" s="14" t="s">
        <v>181</v>
      </c>
      <c r="O11" s="2">
        <v>108.53700000000001</v>
      </c>
      <c r="P11" s="2">
        <v>96.028919999999999</v>
      </c>
      <c r="Q11" s="2">
        <v>96.828159999999997</v>
      </c>
      <c r="R11" s="2">
        <v>115.3937</v>
      </c>
      <c r="S11" s="2">
        <v>78.110240000000005</v>
      </c>
    </row>
    <row r="12" spans="3:19" x14ac:dyDescent="0.3">
      <c r="D12" s="14">
        <v>1</v>
      </c>
      <c r="E12" s="2">
        <v>279.87909999999999</v>
      </c>
      <c r="F12" s="2">
        <v>368.4658</v>
      </c>
      <c r="G12" s="2">
        <v>396.46460000000002</v>
      </c>
      <c r="H12" s="2">
        <v>564.33100000000002</v>
      </c>
      <c r="I12" s="2">
        <v>384.59199999999998</v>
      </c>
      <c r="N12" s="14">
        <v>1</v>
      </c>
      <c r="O12" s="2">
        <v>377.9194</v>
      </c>
      <c r="P12" s="2">
        <v>337.76029999999997</v>
      </c>
      <c r="Q12" s="2">
        <v>479.19869999999997</v>
      </c>
      <c r="R12" s="2">
        <v>272.6069</v>
      </c>
      <c r="S12" s="2">
        <v>316.16000000000003</v>
      </c>
    </row>
    <row r="13" spans="3:19" x14ac:dyDescent="0.3">
      <c r="D13" s="14">
        <v>2</v>
      </c>
      <c r="E13" s="2">
        <v>491.27936</v>
      </c>
      <c r="F13" s="2">
        <v>562.65819999999997</v>
      </c>
      <c r="G13" s="2">
        <v>613.6</v>
      </c>
      <c r="H13" s="2">
        <v>765.39631999999995</v>
      </c>
      <c r="I13" s="2">
        <v>658.04543999999999</v>
      </c>
      <c r="N13" s="14">
        <v>2</v>
      </c>
      <c r="O13" s="2">
        <v>776.35583999999994</v>
      </c>
      <c r="P13" s="2">
        <v>719.54064000000005</v>
      </c>
      <c r="Q13" s="2">
        <v>687.96</v>
      </c>
      <c r="R13" s="2">
        <v>429.28703999999999</v>
      </c>
      <c r="S13" s="2">
        <v>599.04</v>
      </c>
    </row>
    <row r="14" spans="3:19" x14ac:dyDescent="0.3">
      <c r="D14" s="14"/>
      <c r="N14" s="14"/>
    </row>
    <row r="15" spans="3:19" x14ac:dyDescent="0.3">
      <c r="D15" s="14"/>
      <c r="N15" s="14"/>
    </row>
    <row r="16" spans="3:19" x14ac:dyDescent="0.3">
      <c r="D16" s="22" t="s">
        <v>166</v>
      </c>
      <c r="E16" s="22"/>
      <c r="F16" s="22"/>
      <c r="G16" s="22"/>
      <c r="H16" s="22"/>
      <c r="I16" s="22"/>
      <c r="N16" s="22" t="s">
        <v>166</v>
      </c>
      <c r="O16" s="22"/>
      <c r="P16" s="22"/>
      <c r="Q16" s="22"/>
      <c r="R16" s="22"/>
      <c r="S16" s="22"/>
    </row>
    <row r="17" spans="4:19" x14ac:dyDescent="0.4">
      <c r="D17" s="15" t="s">
        <v>181</v>
      </c>
      <c r="E17" s="12">
        <v>84.24</v>
      </c>
      <c r="F17" s="12">
        <v>90.562160000000006</v>
      </c>
      <c r="G17" s="12">
        <v>97.525999999999996</v>
      </c>
      <c r="H17" s="12">
        <v>71.97372</v>
      </c>
      <c r="I17" s="12">
        <v>101.4</v>
      </c>
      <c r="N17" s="15" t="s">
        <v>181</v>
      </c>
      <c r="O17" s="12">
        <v>100.1</v>
      </c>
      <c r="P17" s="12">
        <v>73.082880000000003</v>
      </c>
      <c r="Q17" s="12">
        <v>162.1901</v>
      </c>
      <c r="R17" s="12">
        <v>68.796000000000006</v>
      </c>
      <c r="S17" s="12">
        <v>74.995440000000002</v>
      </c>
    </row>
    <row r="18" spans="4:19" x14ac:dyDescent="0.4">
      <c r="D18" s="15">
        <v>1</v>
      </c>
      <c r="E18" s="12">
        <v>260.48880000000003</v>
      </c>
      <c r="F18" s="12">
        <v>220.83519999999999</v>
      </c>
      <c r="G18" s="12">
        <v>225.29050000000001</v>
      </c>
      <c r="H18" s="12">
        <v>247.66139999999999</v>
      </c>
      <c r="I18" s="12">
        <v>208.73220000000001</v>
      </c>
      <c r="N18" s="15">
        <v>1</v>
      </c>
      <c r="O18" s="12">
        <v>406.7149</v>
      </c>
      <c r="P18" s="12">
        <v>217.45150000000001</v>
      </c>
      <c r="Q18" s="12">
        <v>398.59870000000001</v>
      </c>
      <c r="R18" s="12">
        <v>174.096</v>
      </c>
      <c r="S18" s="12">
        <v>183.81739999999999</v>
      </c>
    </row>
    <row r="19" spans="4:19" x14ac:dyDescent="0.4">
      <c r="D19" s="15">
        <v>2</v>
      </c>
      <c r="E19" s="12">
        <v>503.36</v>
      </c>
      <c r="F19" s="12">
        <v>386.048</v>
      </c>
      <c r="G19" s="12">
        <v>544.76499999999999</v>
      </c>
      <c r="H19" s="12">
        <v>482.28539999999998</v>
      </c>
      <c r="I19" s="12">
        <v>379.7217</v>
      </c>
      <c r="N19" s="15">
        <v>2</v>
      </c>
      <c r="O19" s="12">
        <v>609.27779999999996</v>
      </c>
      <c r="P19" s="12">
        <v>404.79759999999999</v>
      </c>
      <c r="Q19" s="12">
        <v>538.42880000000002</v>
      </c>
      <c r="R19" s="12">
        <v>336.39420000000001</v>
      </c>
      <c r="S19" s="12">
        <v>285.72390000000001</v>
      </c>
    </row>
    <row r="20" spans="4:19" x14ac:dyDescent="0.3">
      <c r="D20" s="14"/>
      <c r="N20" s="14"/>
    </row>
    <row r="21" spans="4:19" x14ac:dyDescent="0.3">
      <c r="D21" s="14"/>
      <c r="N21" s="14"/>
    </row>
    <row r="22" spans="4:19" x14ac:dyDescent="0.3">
      <c r="D22" s="22" t="s">
        <v>182</v>
      </c>
      <c r="E22" s="22"/>
      <c r="F22" s="22"/>
      <c r="G22" s="22"/>
      <c r="H22" s="22"/>
      <c r="I22" s="22"/>
      <c r="N22" s="22" t="s">
        <v>182</v>
      </c>
      <c r="O22" s="22"/>
      <c r="P22" s="22"/>
      <c r="Q22" s="22"/>
      <c r="R22" s="22"/>
      <c r="S22" s="22"/>
    </row>
    <row r="23" spans="4:19" x14ac:dyDescent="0.3">
      <c r="D23" s="14" t="s">
        <v>181</v>
      </c>
      <c r="E23" s="2">
        <v>77.875200000000007</v>
      </c>
      <c r="F23" s="2">
        <v>163.08860000000001</v>
      </c>
      <c r="G23" s="2">
        <v>59.978879999999997</v>
      </c>
      <c r="H23" s="2">
        <v>124.15779999999999</v>
      </c>
      <c r="I23" s="2">
        <v>85.770880000000005</v>
      </c>
      <c r="N23" s="14" t="s">
        <v>181</v>
      </c>
      <c r="O23" s="2">
        <v>273.32029999999997</v>
      </c>
      <c r="P23" s="2">
        <v>66.443520000000007</v>
      </c>
      <c r="Q23" s="2">
        <v>77.796679999999995</v>
      </c>
      <c r="R23" s="2">
        <v>68.219840000000005</v>
      </c>
      <c r="S23" s="2">
        <v>50.450400000000002</v>
      </c>
    </row>
    <row r="24" spans="4:19" x14ac:dyDescent="0.3">
      <c r="D24" s="14">
        <v>1</v>
      </c>
      <c r="E24" s="2">
        <v>207.8835</v>
      </c>
      <c r="F24" s="2">
        <v>262.0883</v>
      </c>
      <c r="G24" s="2">
        <v>193.49199999999999</v>
      </c>
      <c r="H24" s="2">
        <v>152.0532</v>
      </c>
      <c r="I24" s="2">
        <v>115.2403</v>
      </c>
      <c r="N24" s="14">
        <v>1</v>
      </c>
      <c r="O24" s="2">
        <v>503.1936</v>
      </c>
      <c r="P24" s="2">
        <v>175.77610000000001</v>
      </c>
      <c r="Q24" s="2">
        <v>146.28899999999999</v>
      </c>
      <c r="R24" s="2">
        <v>110.5</v>
      </c>
      <c r="S24" s="2">
        <v>88.583039999999997</v>
      </c>
    </row>
    <row r="25" spans="4:19" x14ac:dyDescent="0.3">
      <c r="D25" s="14">
        <v>2</v>
      </c>
      <c r="E25" s="2">
        <v>267.37779999999998</v>
      </c>
      <c r="F25" s="2">
        <v>293.58780000000002</v>
      </c>
      <c r="G25" s="2">
        <v>285.4212</v>
      </c>
      <c r="H25" s="2">
        <v>160.93379999999999</v>
      </c>
      <c r="I25" s="2">
        <v>175.9014</v>
      </c>
      <c r="N25" s="14">
        <v>2</v>
      </c>
      <c r="O25" s="2">
        <v>402.09519999999998</v>
      </c>
      <c r="P25" s="2">
        <v>141.01779999999999</v>
      </c>
      <c r="Q25" s="2">
        <v>183.45599999999999</v>
      </c>
      <c r="R25" s="2">
        <v>174.14279999999999</v>
      </c>
      <c r="S25" s="2">
        <v>151.91489999999999</v>
      </c>
    </row>
  </sheetData>
  <mergeCells count="10">
    <mergeCell ref="D3:I3"/>
    <mergeCell ref="N3:S3"/>
    <mergeCell ref="D4:I4"/>
    <mergeCell ref="D10:I10"/>
    <mergeCell ref="D16:I16"/>
    <mergeCell ref="D22:I22"/>
    <mergeCell ref="N4:S4"/>
    <mergeCell ref="N10:S10"/>
    <mergeCell ref="N16:S16"/>
    <mergeCell ref="N22:S22"/>
  </mergeCells>
  <phoneticPr fontId="10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Q29"/>
  <sheetViews>
    <sheetView zoomScale="85" zoomScaleNormal="85" workbookViewId="0">
      <selection activeCell="N25" sqref="N25"/>
    </sheetView>
  </sheetViews>
  <sheetFormatPr defaultColWidth="9.06640625" defaultRowHeight="17.25" x14ac:dyDescent="0.3"/>
  <cols>
    <col min="1" max="1" width="12.59765625" style="1" customWidth="1"/>
    <col min="2" max="4" width="9.06640625" style="2"/>
    <col min="5" max="5" width="19.796875" style="2" customWidth="1"/>
    <col min="6" max="6" width="9.06640625" style="2"/>
    <col min="7" max="7" width="26.53125" style="2" customWidth="1"/>
    <col min="8" max="9" width="9.06640625" style="2"/>
    <col min="10" max="10" width="20.46484375" style="2" customWidth="1"/>
    <col min="11" max="11" width="9.06640625" style="2"/>
    <col min="12" max="12" width="31" style="2" customWidth="1"/>
    <col min="13" max="16384" width="9.06640625" style="2"/>
  </cols>
  <sheetData>
    <row r="2" spans="1:17" ht="13.9" x14ac:dyDescent="0.3">
      <c r="A2" s="16" t="s">
        <v>170</v>
      </c>
      <c r="C2" s="21" t="s">
        <v>66</v>
      </c>
      <c r="D2" s="21"/>
      <c r="E2" s="21"/>
      <c r="F2" s="21"/>
      <c r="G2" s="21"/>
      <c r="H2" s="21"/>
      <c r="I2" s="21"/>
      <c r="J2" s="21"/>
      <c r="K2" s="21"/>
      <c r="L2" s="21"/>
    </row>
    <row r="3" spans="1:17" x14ac:dyDescent="0.35">
      <c r="C3" s="3" t="s">
        <v>167</v>
      </c>
      <c r="D3" s="2" t="s">
        <v>15</v>
      </c>
      <c r="E3" s="2" t="s">
        <v>67</v>
      </c>
      <c r="F3" s="2" t="s">
        <v>166</v>
      </c>
      <c r="G3" s="2" t="s">
        <v>187</v>
      </c>
      <c r="H3" s="3" t="s">
        <v>69</v>
      </c>
      <c r="I3" s="2" t="s">
        <v>15</v>
      </c>
      <c r="J3" s="2" t="s">
        <v>67</v>
      </c>
      <c r="K3" s="2" t="s">
        <v>166</v>
      </c>
      <c r="L3" s="2" t="s">
        <v>187</v>
      </c>
      <c r="N3" s="5"/>
      <c r="O3" s="5"/>
      <c r="P3" s="5"/>
      <c r="Q3" s="5"/>
    </row>
    <row r="4" spans="1:17" x14ac:dyDescent="0.35">
      <c r="D4" s="2">
        <v>1.12669683257919</v>
      </c>
      <c r="E4" s="2">
        <v>0.77375565610859698</v>
      </c>
      <c r="F4" s="2">
        <v>0.33936651583710398</v>
      </c>
      <c r="G4" s="2">
        <v>0.12669683257918599</v>
      </c>
      <c r="I4" s="2">
        <v>1.1555234237679399</v>
      </c>
      <c r="J4" s="2">
        <v>0.58430241050907095</v>
      </c>
      <c r="K4" s="2">
        <v>0.43168610925670198</v>
      </c>
      <c r="L4" s="2">
        <v>0.12645350675196301</v>
      </c>
      <c r="N4" s="5"/>
      <c r="O4" s="5"/>
      <c r="P4" s="5"/>
      <c r="Q4" s="5"/>
    </row>
    <row r="5" spans="1:17" x14ac:dyDescent="0.35">
      <c r="D5" s="2">
        <v>1</v>
      </c>
      <c r="E5" s="2">
        <v>0.64705882352941202</v>
      </c>
      <c r="F5" s="2">
        <v>0.19909502262443399</v>
      </c>
      <c r="G5" s="2">
        <v>0.14932126696832601</v>
      </c>
      <c r="I5" s="2">
        <v>0.98546525951529895</v>
      </c>
      <c r="J5" s="2">
        <v>0.85465128701326798</v>
      </c>
      <c r="K5" s="2">
        <v>0.344476794255348</v>
      </c>
      <c r="L5" s="2">
        <v>9.5930246501489305E-2</v>
      </c>
      <c r="N5" s="5"/>
      <c r="O5" s="5"/>
      <c r="P5" s="5"/>
      <c r="Q5" s="5"/>
    </row>
    <row r="6" spans="1:17" x14ac:dyDescent="0.3">
      <c r="D6" s="2">
        <v>0.87330316742081404</v>
      </c>
      <c r="E6" s="2">
        <v>0.66515837104072395</v>
      </c>
      <c r="F6" s="2">
        <v>0.39366515837104099</v>
      </c>
      <c r="G6" s="2">
        <v>0.144796380090498</v>
      </c>
      <c r="I6" s="2">
        <v>0.85901175276333597</v>
      </c>
      <c r="J6" s="2">
        <v>0.76308150626184701</v>
      </c>
      <c r="K6" s="2">
        <v>0.26598841075412899</v>
      </c>
      <c r="L6" s="2">
        <v>0.11337210950175999</v>
      </c>
    </row>
    <row r="7" spans="1:17" x14ac:dyDescent="0.3">
      <c r="C7" s="4" t="s">
        <v>16</v>
      </c>
      <c r="D7" s="4">
        <f>AVERAGE(D4:D6)</f>
        <v>1.0000000000000013</v>
      </c>
      <c r="E7" s="4">
        <f t="shared" ref="E7:L7" si="0">AVERAGE(E4:E6)</f>
        <v>0.69532428355957754</v>
      </c>
      <c r="F7" s="4">
        <f t="shared" si="0"/>
        <v>0.31070889894419301</v>
      </c>
      <c r="G7" s="4">
        <f t="shared" si="0"/>
        <v>0.14027149321266999</v>
      </c>
      <c r="H7" s="4" t="s">
        <v>16</v>
      </c>
      <c r="I7" s="4">
        <f t="shared" si="0"/>
        <v>1.0000001453488583</v>
      </c>
      <c r="J7" s="4">
        <f t="shared" si="0"/>
        <v>0.73401173459472868</v>
      </c>
      <c r="K7" s="4">
        <f t="shared" si="0"/>
        <v>0.34738377142205962</v>
      </c>
      <c r="L7" s="4">
        <f t="shared" si="0"/>
        <v>0.1119186209184041</v>
      </c>
    </row>
    <row r="8" spans="1:17" x14ac:dyDescent="0.3">
      <c r="C8" s="4" t="s">
        <v>17</v>
      </c>
      <c r="D8" s="4">
        <f>STDEV(D4:D6)</f>
        <v>0.12669683257918768</v>
      </c>
      <c r="E8" s="4">
        <f t="shared" ref="E8:L8" si="1">STDEV(E4:E6)</f>
        <v>6.8523780944799412E-2</v>
      </c>
      <c r="F8" s="4">
        <f t="shared" si="1"/>
        <v>0.10040084006420917</v>
      </c>
      <c r="G8" s="4">
        <f t="shared" si="1"/>
        <v>1.1971725389432405E-2</v>
      </c>
      <c r="H8" s="4" t="s">
        <v>17</v>
      </c>
      <c r="I8" s="4">
        <f t="shared" si="1"/>
        <v>0.14878924672210533</v>
      </c>
      <c r="J8" s="4">
        <f t="shared" si="1"/>
        <v>0.13749879081415295</v>
      </c>
      <c r="K8" s="4">
        <f t="shared" si="1"/>
        <v>8.2887090125352225E-2</v>
      </c>
      <c r="L8" s="4">
        <f t="shared" si="1"/>
        <v>1.5313452447962025E-2</v>
      </c>
    </row>
    <row r="10" spans="1:17" x14ac:dyDescent="0.3">
      <c r="C10" s="3" t="s">
        <v>70</v>
      </c>
      <c r="D10" s="2" t="s">
        <v>15</v>
      </c>
      <c r="E10" s="2" t="s">
        <v>67</v>
      </c>
      <c r="F10" s="2" t="s">
        <v>166</v>
      </c>
      <c r="G10" s="2" t="s">
        <v>187</v>
      </c>
      <c r="H10" s="3" t="s">
        <v>71</v>
      </c>
      <c r="I10" s="2" t="s">
        <v>15</v>
      </c>
      <c r="J10" s="2" t="s">
        <v>67</v>
      </c>
      <c r="K10" s="2" t="s">
        <v>166</v>
      </c>
      <c r="L10" s="2" t="s">
        <v>187</v>
      </c>
    </row>
    <row r="11" spans="1:17" x14ac:dyDescent="0.3">
      <c r="D11" s="2">
        <v>1.02336448598131</v>
      </c>
      <c r="E11" s="2">
        <v>0.82554517133956395</v>
      </c>
      <c r="F11" s="2">
        <v>0.45794392523364502</v>
      </c>
      <c r="G11" s="2">
        <v>9.8130841121495296E-2</v>
      </c>
      <c r="I11" s="2">
        <v>0.853372559145536</v>
      </c>
      <c r="J11" s="2">
        <v>0.708211247538306</v>
      </c>
      <c r="K11" s="2">
        <v>0.48387103869076797</v>
      </c>
      <c r="L11" s="2">
        <v>0.11876834586046101</v>
      </c>
    </row>
    <row r="12" spans="1:17" x14ac:dyDescent="0.3">
      <c r="D12" s="2">
        <v>0.80373831775700899</v>
      </c>
      <c r="E12" s="2">
        <v>0.78504672897196304</v>
      </c>
      <c r="F12" s="2">
        <v>0.42990654205607498</v>
      </c>
      <c r="G12" s="2">
        <v>0.144859813084112</v>
      </c>
      <c r="I12" s="2">
        <v>1.09090925086646</v>
      </c>
      <c r="J12" s="2">
        <v>0.791788972403075</v>
      </c>
      <c r="K12" s="2">
        <v>0.49706752156415301</v>
      </c>
      <c r="L12" s="2">
        <v>0.20674489834969201</v>
      </c>
    </row>
    <row r="13" spans="1:17" x14ac:dyDescent="0.3">
      <c r="D13" s="2">
        <v>1.1728971962616801</v>
      </c>
      <c r="E13" s="2">
        <v>0.644859813084112</v>
      </c>
      <c r="F13" s="2">
        <v>0.210280373831776</v>
      </c>
      <c r="G13" s="2">
        <v>0.116822429906542</v>
      </c>
      <c r="I13" s="2">
        <v>1.0557186298707699</v>
      </c>
      <c r="J13" s="2">
        <v>0.65982414366922904</v>
      </c>
      <c r="K13" s="2">
        <v>0.343108554707999</v>
      </c>
      <c r="L13" s="2">
        <v>0.20234607072523</v>
      </c>
    </row>
    <row r="14" spans="1:17" x14ac:dyDescent="0.3">
      <c r="C14" s="4" t="s">
        <v>16</v>
      </c>
      <c r="D14" s="4">
        <f>AVERAGE(D11:D13)</f>
        <v>0.99999999999999967</v>
      </c>
      <c r="E14" s="4">
        <f t="shared" ref="E14:L14" si="2">AVERAGE(E11:E13)</f>
        <v>0.75181723779854626</v>
      </c>
      <c r="F14" s="4">
        <f t="shared" si="2"/>
        <v>0.36604361370716537</v>
      </c>
      <c r="G14" s="4">
        <f t="shared" si="2"/>
        <v>0.11993769470404976</v>
      </c>
      <c r="H14" s="4" t="s">
        <v>16</v>
      </c>
      <c r="I14" s="4">
        <f t="shared" si="2"/>
        <v>1.0000001466275885</v>
      </c>
      <c r="J14" s="4">
        <f t="shared" si="2"/>
        <v>0.71994145453686997</v>
      </c>
      <c r="K14" s="4">
        <f t="shared" si="2"/>
        <v>0.44134903832097333</v>
      </c>
      <c r="L14" s="4">
        <f t="shared" si="2"/>
        <v>0.17595310497846103</v>
      </c>
    </row>
    <row r="15" spans="1:17" x14ac:dyDescent="0.3">
      <c r="C15" s="4" t="s">
        <v>17</v>
      </c>
      <c r="D15" s="4">
        <f>STDEV(D11:D13)</f>
        <v>0.18568520080659301</v>
      </c>
      <c r="E15" s="4">
        <f t="shared" ref="E15:L15" si="3">STDEV(E11:E13)</f>
        <v>9.4815341504993308E-2</v>
      </c>
      <c r="F15" s="4">
        <f t="shared" si="3"/>
        <v>0.13562139907190174</v>
      </c>
      <c r="G15" s="4">
        <f t="shared" si="3"/>
        <v>2.3519733443210959E-2</v>
      </c>
      <c r="H15" s="4" t="s">
        <v>17</v>
      </c>
      <c r="I15" s="4">
        <f t="shared" si="3"/>
        <v>0.12819645864695703</v>
      </c>
      <c r="J15" s="4">
        <f t="shared" si="3"/>
        <v>6.6759848133891034E-2</v>
      </c>
      <c r="K15" s="4">
        <f t="shared" si="3"/>
        <v>8.5334232611773031E-2</v>
      </c>
      <c r="L15" s="4">
        <f t="shared" si="3"/>
        <v>4.9572269744840171E-2</v>
      </c>
    </row>
    <row r="17" spans="3:12" x14ac:dyDescent="0.3">
      <c r="C17" s="3" t="s">
        <v>72</v>
      </c>
      <c r="D17" s="2" t="s">
        <v>15</v>
      </c>
      <c r="E17" s="2" t="s">
        <v>67</v>
      </c>
      <c r="F17" s="2" t="s">
        <v>166</v>
      </c>
      <c r="G17" s="2" t="s">
        <v>187</v>
      </c>
      <c r="H17" s="3" t="s">
        <v>73</v>
      </c>
      <c r="I17" s="2" t="s">
        <v>15</v>
      </c>
      <c r="J17" s="2" t="s">
        <v>67</v>
      </c>
      <c r="K17" s="2" t="s">
        <v>166</v>
      </c>
      <c r="L17" s="2" t="s">
        <v>187</v>
      </c>
    </row>
    <row r="18" spans="3:12" x14ac:dyDescent="0.3">
      <c r="D18" s="2">
        <v>0.97154471544715404</v>
      </c>
      <c r="E18" s="2">
        <v>0.68699186991869898</v>
      </c>
      <c r="F18" s="2">
        <v>0.39024390243902402</v>
      </c>
      <c r="G18" s="2">
        <v>6.50406504065041E-2</v>
      </c>
      <c r="I18" s="2">
        <v>1.14733524336438</v>
      </c>
      <c r="J18" s="2">
        <v>0.84326005591535003</v>
      </c>
      <c r="K18" s="2">
        <v>0.448275776132324</v>
      </c>
      <c r="L18" s="2">
        <v>0.26332284273936601</v>
      </c>
    </row>
    <row r="19" spans="3:12" x14ac:dyDescent="0.3">
      <c r="D19" s="2">
        <v>1.0284552845528501</v>
      </c>
      <c r="E19" s="2">
        <v>0.57317073170731703</v>
      </c>
      <c r="F19" s="2">
        <v>0.34959349593495898</v>
      </c>
      <c r="G19" s="2">
        <v>4.4715447154471497E-2</v>
      </c>
      <c r="I19" s="2">
        <v>0.99686504751331595</v>
      </c>
      <c r="J19" s="2">
        <v>0.68965506431738999</v>
      </c>
      <c r="K19" s="2">
        <v>0.34482751648471499</v>
      </c>
      <c r="L19" s="2">
        <v>0.21159871291556201</v>
      </c>
    </row>
    <row r="20" spans="3:12" x14ac:dyDescent="0.3">
      <c r="D20" s="2">
        <v>1</v>
      </c>
      <c r="E20" s="2">
        <v>0.5</v>
      </c>
      <c r="F20" s="2">
        <v>0.215447154471545</v>
      </c>
      <c r="G20" s="2">
        <v>7.7235772357723595E-2</v>
      </c>
      <c r="I20" s="2">
        <v>0.85579923890294096</v>
      </c>
      <c r="J20" s="2">
        <v>0.60815037489805901</v>
      </c>
      <c r="K20" s="2">
        <v>0.391849452688174</v>
      </c>
      <c r="L20" s="2">
        <v>0.22570529377660001</v>
      </c>
    </row>
    <row r="21" spans="3:12" x14ac:dyDescent="0.3">
      <c r="C21" s="4" t="s">
        <v>16</v>
      </c>
      <c r="D21" s="4">
        <f>AVERAGE(D18:D20)</f>
        <v>1.0000000000000013</v>
      </c>
      <c r="E21" s="4">
        <f t="shared" ref="E21:L21" si="4">AVERAGE(E18:E20)</f>
        <v>0.586720867208672</v>
      </c>
      <c r="F21" s="4">
        <f t="shared" si="4"/>
        <v>0.31842818428184266</v>
      </c>
      <c r="G21" s="4">
        <f t="shared" si="4"/>
        <v>6.2330623306233068E-2</v>
      </c>
      <c r="H21" s="4" t="s">
        <v>16</v>
      </c>
      <c r="I21" s="4">
        <f t="shared" si="4"/>
        <v>0.9999998432602123</v>
      </c>
      <c r="J21" s="4">
        <f t="shared" si="4"/>
        <v>0.71368849837693293</v>
      </c>
      <c r="K21" s="4">
        <f t="shared" si="4"/>
        <v>0.39498424843507096</v>
      </c>
      <c r="L21" s="4">
        <f t="shared" si="4"/>
        <v>0.23354228314384265</v>
      </c>
    </row>
    <row r="22" spans="3:12" x14ac:dyDescent="0.3">
      <c r="C22" s="4" t="s">
        <v>17</v>
      </c>
      <c r="D22" s="4">
        <f>STDEV(D18:D20)</f>
        <v>2.8455284552848015E-2</v>
      </c>
      <c r="E22" s="4">
        <f t="shared" ref="E22:L22" si="5">STDEV(E18:E20)</f>
        <v>9.4229477781646351E-2</v>
      </c>
      <c r="F22" s="4">
        <f t="shared" si="5"/>
        <v>9.1470942177439618E-2</v>
      </c>
      <c r="G22" s="4">
        <f t="shared" si="5"/>
        <v>1.6428666196452803E-2</v>
      </c>
      <c r="H22" s="4" t="s">
        <v>17</v>
      </c>
      <c r="I22" s="4">
        <f t="shared" si="5"/>
        <v>0.14579328064974839</v>
      </c>
      <c r="J22" s="4">
        <f t="shared" si="5"/>
        <v>0.11938318554777276</v>
      </c>
      <c r="K22" s="4">
        <f t="shared" si="5"/>
        <v>5.1795326182107179E-2</v>
      </c>
      <c r="L22" s="4">
        <f t="shared" si="5"/>
        <v>2.6737804757760851E-2</v>
      </c>
    </row>
    <row r="24" spans="3:12" x14ac:dyDescent="0.3">
      <c r="C24" s="3" t="s">
        <v>74</v>
      </c>
      <c r="D24" s="2" t="s">
        <v>15</v>
      </c>
      <c r="E24" s="2" t="s">
        <v>67</v>
      </c>
      <c r="F24" s="2" t="s">
        <v>166</v>
      </c>
      <c r="G24" s="2" t="s">
        <v>187</v>
      </c>
      <c r="H24" s="3" t="s">
        <v>75</v>
      </c>
      <c r="I24" s="2" t="s">
        <v>15</v>
      </c>
      <c r="J24" s="2" t="s">
        <v>67</v>
      </c>
      <c r="K24" s="2" t="s">
        <v>166</v>
      </c>
      <c r="L24" s="2" t="s">
        <v>187</v>
      </c>
    </row>
    <row r="25" spans="3:12" x14ac:dyDescent="0.3">
      <c r="D25" s="2">
        <v>1.0700133513888199</v>
      </c>
      <c r="E25" s="2">
        <v>0.91149285488677101</v>
      </c>
      <c r="F25" s="2">
        <v>0.42800534055552703</v>
      </c>
      <c r="G25" s="2">
        <v>0.20211363304011001</v>
      </c>
      <c r="I25" s="2">
        <v>1.1394027225323899</v>
      </c>
      <c r="J25" s="2">
        <v>0.75960181502159496</v>
      </c>
      <c r="K25" s="2">
        <v>0.311522092677396</v>
      </c>
      <c r="L25" s="2">
        <v>0.17496446301059199</v>
      </c>
    </row>
    <row r="26" spans="3:12" x14ac:dyDescent="0.3">
      <c r="D26" s="2">
        <v>0.91941887971187297</v>
      </c>
      <c r="E26" s="2">
        <v>0.718626250809279</v>
      </c>
      <c r="F26" s="2">
        <v>0.455746427443385</v>
      </c>
      <c r="G26" s="2">
        <v>0.22589170751541701</v>
      </c>
      <c r="I26" s="2">
        <v>0.96870568544888802</v>
      </c>
      <c r="J26" s="2">
        <v>0.623044185354792</v>
      </c>
      <c r="K26" s="2">
        <v>0.44381229641711201</v>
      </c>
      <c r="L26" s="2">
        <v>0.209103870427293</v>
      </c>
    </row>
    <row r="27" spans="3:12" x14ac:dyDescent="0.3">
      <c r="D27" s="2">
        <v>1.01056816520055</v>
      </c>
      <c r="E27" s="2">
        <v>0.65257604393342805</v>
      </c>
      <c r="F27" s="2">
        <v>0.36856015436725897</v>
      </c>
      <c r="G27" s="2">
        <v>0.14266844685184199</v>
      </c>
      <c r="I27" s="2">
        <v>0.89189201876131097</v>
      </c>
      <c r="J27" s="2">
        <v>0.67852072240693095</v>
      </c>
      <c r="K27" s="2">
        <v>0.54196309274012699</v>
      </c>
      <c r="L27" s="2">
        <v>0.170697037083505</v>
      </c>
    </row>
    <row r="28" spans="3:12" x14ac:dyDescent="0.3">
      <c r="C28" s="4" t="s">
        <v>16</v>
      </c>
      <c r="D28" s="4">
        <f>AVERAGE(D25:D27)</f>
        <v>1.0000001321004144</v>
      </c>
      <c r="E28" s="4">
        <f t="shared" ref="E28:L28" si="6">AVERAGE(E25:E27)</f>
        <v>0.76089838320982606</v>
      </c>
      <c r="F28" s="4">
        <f t="shared" si="6"/>
        <v>0.41743730745539032</v>
      </c>
      <c r="G28" s="4">
        <f t="shared" si="6"/>
        <v>0.19022459580245635</v>
      </c>
      <c r="H28" s="4" t="s">
        <v>16</v>
      </c>
      <c r="I28" s="4">
        <f t="shared" si="6"/>
        <v>1.0000001422475295</v>
      </c>
      <c r="J28" s="4">
        <f t="shared" si="6"/>
        <v>0.68705557426110586</v>
      </c>
      <c r="K28" s="4">
        <f t="shared" si="6"/>
        <v>0.43243249394487832</v>
      </c>
      <c r="L28" s="4">
        <f t="shared" si="6"/>
        <v>0.18492179017379665</v>
      </c>
    </row>
    <row r="29" spans="3:12" x14ac:dyDescent="0.3">
      <c r="C29" s="4" t="s">
        <v>17</v>
      </c>
      <c r="D29" s="4">
        <f>STDEV(D25:D27)</f>
        <v>7.5851408804443882E-2</v>
      </c>
      <c r="E29" s="4">
        <f t="shared" ref="E29:L29" si="7">STDEV(E25:E27)</f>
        <v>0.13453504611003508</v>
      </c>
      <c r="F29" s="4">
        <f t="shared" si="7"/>
        <v>4.4543507337550255E-2</v>
      </c>
      <c r="G29" s="4">
        <f t="shared" si="7"/>
        <v>4.2866533376260584E-2</v>
      </c>
      <c r="H29" s="4" t="s">
        <v>17</v>
      </c>
      <c r="I29" s="4">
        <f t="shared" si="7"/>
        <v>0.1266881777833091</v>
      </c>
      <c r="J29" s="4">
        <f t="shared" si="7"/>
        <v>6.867772074831445E-2</v>
      </c>
      <c r="K29" s="4">
        <f t="shared" si="7"/>
        <v>0.11564120613219246</v>
      </c>
      <c r="L29" s="4">
        <f t="shared" si="7"/>
        <v>2.1050712221934362E-2</v>
      </c>
    </row>
  </sheetData>
  <mergeCells count="1">
    <mergeCell ref="C2:L2"/>
  </mergeCells>
  <phoneticPr fontId="10" type="noConversion"/>
  <conditionalFormatting sqref="C30:L30">
    <cfRule type="duplicateValues" dxfId="0" priority="2"/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CB83C-225E-4A61-BB12-3D27AFA178B9}">
  <dimension ref="A2:AG83"/>
  <sheetViews>
    <sheetView tabSelected="1" topLeftCell="A37" workbookViewId="0">
      <selection activeCell="M29" sqref="M29"/>
    </sheetView>
  </sheetViews>
  <sheetFormatPr defaultRowHeight="13.9" x14ac:dyDescent="0.3"/>
  <cols>
    <col min="1" max="1" width="12.3984375" style="16" customWidth="1"/>
    <col min="2" max="5" width="9.06640625" style="2"/>
    <col min="6" max="6" width="13.3984375" style="2" customWidth="1"/>
    <col min="7" max="7" width="10.265625" style="2" customWidth="1"/>
    <col min="8" max="8" width="12.59765625" style="2" customWidth="1"/>
    <col min="9" max="9" width="9.06640625" style="2"/>
    <col min="10" max="10" width="11.86328125" style="2" customWidth="1"/>
    <col min="11" max="22" width="9.06640625" style="2"/>
  </cols>
  <sheetData>
    <row r="2" spans="1:33" x14ac:dyDescent="0.3">
      <c r="A2" s="16" t="s">
        <v>172</v>
      </c>
      <c r="C2" s="21" t="s">
        <v>82</v>
      </c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</row>
    <row r="3" spans="1:33" x14ac:dyDescent="0.4">
      <c r="C3" s="23" t="s">
        <v>77</v>
      </c>
      <c r="D3" s="23"/>
      <c r="E3" s="23"/>
      <c r="F3" s="23"/>
      <c r="G3" s="23"/>
      <c r="H3" s="23" t="s">
        <v>175</v>
      </c>
      <c r="I3" s="23"/>
      <c r="J3" s="23"/>
      <c r="K3" s="23"/>
      <c r="L3" s="23"/>
      <c r="M3" s="23" t="s">
        <v>177</v>
      </c>
      <c r="N3" s="23"/>
      <c r="O3" s="23"/>
      <c r="P3" s="23"/>
      <c r="Q3" s="23"/>
      <c r="R3" s="23" t="s">
        <v>179</v>
      </c>
      <c r="S3" s="23"/>
      <c r="T3" s="23"/>
      <c r="U3" s="23"/>
      <c r="V3" s="23"/>
    </row>
    <row r="4" spans="1:33" x14ac:dyDescent="0.4">
      <c r="B4" s="2" t="s">
        <v>79</v>
      </c>
      <c r="C4" s="12">
        <v>129.6396</v>
      </c>
      <c r="D4" s="12">
        <v>94.011840000000007</v>
      </c>
      <c r="E4" s="12">
        <v>70.686719999999994</v>
      </c>
      <c r="F4" s="12">
        <v>118.2636</v>
      </c>
      <c r="G4" s="12">
        <v>55.036799999999999</v>
      </c>
      <c r="H4" s="12">
        <v>153.79</v>
      </c>
      <c r="I4" s="12">
        <v>131.5746</v>
      </c>
      <c r="J4" s="12">
        <v>86.430239999999998</v>
      </c>
      <c r="K4" s="12">
        <v>107.6275</v>
      </c>
      <c r="L4" s="12">
        <v>64.233000000000004</v>
      </c>
      <c r="M4" s="12">
        <v>104.04989999999999</v>
      </c>
      <c r="N4" s="12">
        <v>83.2</v>
      </c>
      <c r="O4" s="12">
        <v>92.951040000000006</v>
      </c>
      <c r="P4" s="12">
        <v>99.326239999999999</v>
      </c>
      <c r="Q4" s="12">
        <v>136.65600000000001</v>
      </c>
      <c r="R4" s="12">
        <v>92.3</v>
      </c>
      <c r="S4" s="12">
        <v>91.395200000000003</v>
      </c>
      <c r="T4" s="12">
        <v>66.171559999999999</v>
      </c>
      <c r="U4" s="12">
        <v>42.000920000000001</v>
      </c>
      <c r="V4" s="12">
        <v>156.39680000000001</v>
      </c>
    </row>
    <row r="5" spans="1:33" x14ac:dyDescent="0.4">
      <c r="B5" s="2">
        <v>1</v>
      </c>
      <c r="C5" s="12">
        <v>225.43350000000001</v>
      </c>
      <c r="D5" s="12">
        <v>379.45699999999999</v>
      </c>
      <c r="E5" s="12">
        <v>533.30211999999995</v>
      </c>
      <c r="F5" s="12">
        <v>428.36770000000001</v>
      </c>
      <c r="G5" s="12">
        <v>469.6474</v>
      </c>
      <c r="H5" s="12">
        <v>249.7295</v>
      </c>
      <c r="I5" s="12">
        <v>464.60700000000003</v>
      </c>
      <c r="J5" s="12">
        <v>546.36559999999997</v>
      </c>
      <c r="K5" s="12">
        <v>304.19380000000001</v>
      </c>
      <c r="L5" s="12">
        <v>279.09750000000003</v>
      </c>
      <c r="M5" s="12">
        <v>135.34979999999999</v>
      </c>
      <c r="N5" s="12">
        <v>291.05860000000001</v>
      </c>
      <c r="O5" s="12">
        <v>416.01089999999999</v>
      </c>
      <c r="P5" s="12">
        <v>224.0909</v>
      </c>
      <c r="Q5" s="12">
        <v>489.26799999999997</v>
      </c>
      <c r="R5" s="12">
        <v>231.82849999999999</v>
      </c>
      <c r="S5" s="12">
        <v>191.411</v>
      </c>
      <c r="T5" s="12">
        <v>216.4032</v>
      </c>
      <c r="U5" s="12">
        <v>88.644919999999999</v>
      </c>
      <c r="V5" s="12">
        <v>204.46299999999999</v>
      </c>
    </row>
    <row r="6" spans="1:33" x14ac:dyDescent="0.4">
      <c r="B6" s="2">
        <v>2</v>
      </c>
      <c r="C6" s="12">
        <v>1038.4549999999999</v>
      </c>
      <c r="D6" s="12">
        <v>1081.0909999999999</v>
      </c>
      <c r="E6" s="12">
        <v>1240.39708</v>
      </c>
      <c r="F6" s="12">
        <v>889.78499999999997</v>
      </c>
      <c r="G6" s="12">
        <v>744.18499999999995</v>
      </c>
      <c r="H6" s="12">
        <v>967.46</v>
      </c>
      <c r="I6" s="12">
        <v>692.49019999999996</v>
      </c>
      <c r="J6" s="12">
        <v>673.24609999999996</v>
      </c>
      <c r="K6" s="12">
        <v>536.95619999999997</v>
      </c>
      <c r="L6" s="12">
        <v>411.51339999999999</v>
      </c>
      <c r="M6" s="12">
        <v>629.20000000000005</v>
      </c>
      <c r="N6" s="12">
        <v>697.50720000000001</v>
      </c>
      <c r="O6" s="12">
        <v>810.06539999999995</v>
      </c>
      <c r="P6" s="12">
        <v>647.82899999999995</v>
      </c>
      <c r="Q6" s="12">
        <v>531.94749999999999</v>
      </c>
      <c r="R6" s="12">
        <v>385.71620000000001</v>
      </c>
      <c r="S6" s="12">
        <v>258.30270000000002</v>
      </c>
      <c r="T6" s="12">
        <v>189.89359999999999</v>
      </c>
      <c r="U6" s="12">
        <v>368.18599999999998</v>
      </c>
      <c r="V6" s="12">
        <v>226.02109999999999</v>
      </c>
    </row>
    <row r="8" spans="1:33" x14ac:dyDescent="0.3">
      <c r="E8" s="21" t="s">
        <v>82</v>
      </c>
      <c r="F8" s="21"/>
      <c r="G8" s="21"/>
      <c r="H8" s="21"/>
    </row>
    <row r="9" spans="1:33" x14ac:dyDescent="0.3">
      <c r="E9" s="2" t="s">
        <v>77</v>
      </c>
      <c r="F9" s="2" t="s">
        <v>174</v>
      </c>
      <c r="G9" s="2" t="s">
        <v>176</v>
      </c>
      <c r="H9" s="2" t="s">
        <v>178</v>
      </c>
    </row>
    <row r="10" spans="1:33" x14ac:dyDescent="0.4">
      <c r="E10" s="12">
        <v>1038.4549999999999</v>
      </c>
      <c r="F10" s="12">
        <v>967.46</v>
      </c>
      <c r="G10" s="12">
        <v>629.20000000000005</v>
      </c>
      <c r="H10" s="12">
        <v>385.71620000000001</v>
      </c>
    </row>
    <row r="11" spans="1:33" x14ac:dyDescent="0.4">
      <c r="E11" s="12">
        <v>1081.0909999999999</v>
      </c>
      <c r="F11" s="12">
        <v>692.49019999999996</v>
      </c>
      <c r="G11" s="12">
        <v>697.50720000000001</v>
      </c>
      <c r="H11" s="12">
        <v>258.30270000000002</v>
      </c>
    </row>
    <row r="12" spans="1:33" x14ac:dyDescent="0.4">
      <c r="E12" s="12">
        <v>1240.39708</v>
      </c>
      <c r="F12" s="12">
        <v>673.24609999999996</v>
      </c>
      <c r="G12" s="12">
        <v>810.06539999999995</v>
      </c>
      <c r="H12" s="12">
        <v>189.89359999999999</v>
      </c>
      <c r="N12" s="23"/>
      <c r="O12" s="23"/>
      <c r="P12" s="23"/>
      <c r="Q12" s="23"/>
      <c r="R12" s="23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</row>
    <row r="13" spans="1:33" x14ac:dyDescent="0.4">
      <c r="E13" s="12">
        <v>889.78499999999997</v>
      </c>
      <c r="F13" s="12">
        <v>536.95619999999997</v>
      </c>
      <c r="G13" s="12">
        <v>647.82899999999995</v>
      </c>
      <c r="H13" s="12">
        <v>368.18599999999998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 spans="1:33" x14ac:dyDescent="0.4">
      <c r="E14" s="12">
        <v>744.18499999999995</v>
      </c>
      <c r="F14" s="12">
        <v>411.51339999999999</v>
      </c>
      <c r="G14" s="12">
        <v>531.94749999999999</v>
      </c>
      <c r="H14" s="12">
        <v>226.02109999999999</v>
      </c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 spans="1:33" x14ac:dyDescent="0.35">
      <c r="D15" s="4" t="s">
        <v>143</v>
      </c>
      <c r="E15" s="4">
        <f>AVERAGE(E10:E14)</f>
        <v>998.78261600000008</v>
      </c>
      <c r="F15" s="4">
        <f t="shared" ref="F15:H15" si="0">AVERAGE(F10:F14)</f>
        <v>656.33317999999997</v>
      </c>
      <c r="G15" s="4">
        <f t="shared" si="0"/>
        <v>663.30982000000006</v>
      </c>
      <c r="H15" s="4">
        <f t="shared" si="0"/>
        <v>285.62392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</row>
    <row r="16" spans="1:33" x14ac:dyDescent="0.3">
      <c r="D16" s="4" t="s">
        <v>144</v>
      </c>
      <c r="E16" s="4">
        <f>STDEV(E10:E14)</f>
        <v>189.35848522676983</v>
      </c>
      <c r="F16" s="4">
        <f t="shared" ref="F16:H16" si="1">STDEV(F10:F14)</f>
        <v>207.71426474527939</v>
      </c>
      <c r="G16" s="4">
        <f t="shared" si="1"/>
        <v>101.69298867681026</v>
      </c>
      <c r="H16" s="4">
        <f t="shared" si="1"/>
        <v>87.031892072774141</v>
      </c>
    </row>
    <row r="19" spans="1:22" x14ac:dyDescent="0.3">
      <c r="A19" s="16" t="s">
        <v>173</v>
      </c>
      <c r="C19" s="21" t="s">
        <v>83</v>
      </c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</row>
    <row r="20" spans="1:22" x14ac:dyDescent="0.4">
      <c r="C20" s="23" t="s">
        <v>77</v>
      </c>
      <c r="D20" s="23"/>
      <c r="E20" s="23"/>
      <c r="F20" s="23"/>
      <c r="G20" s="23"/>
      <c r="H20" s="23" t="s">
        <v>175</v>
      </c>
      <c r="I20" s="23"/>
      <c r="J20" s="23"/>
      <c r="K20" s="23"/>
      <c r="L20" s="23"/>
      <c r="M20" s="23" t="s">
        <v>177</v>
      </c>
      <c r="N20" s="23"/>
      <c r="O20" s="23"/>
      <c r="P20" s="23"/>
      <c r="Q20" s="23"/>
      <c r="R20" s="23" t="s">
        <v>179</v>
      </c>
      <c r="S20" s="23"/>
      <c r="T20" s="23"/>
      <c r="U20" s="23"/>
      <c r="V20" s="23"/>
    </row>
    <row r="21" spans="1:22" x14ac:dyDescent="0.4">
      <c r="B21" s="2" t="s">
        <v>79</v>
      </c>
      <c r="C21" s="12">
        <v>101.23779999999999</v>
      </c>
      <c r="D21" s="12">
        <v>76.677120000000002</v>
      </c>
      <c r="E21" s="12">
        <v>98.733959999999996</v>
      </c>
      <c r="F21" s="12">
        <v>106.964</v>
      </c>
      <c r="G21" s="12">
        <v>108.0903</v>
      </c>
      <c r="H21" s="12">
        <v>151.91489999999999</v>
      </c>
      <c r="I21" s="12">
        <v>115.8477</v>
      </c>
      <c r="J21" s="12">
        <v>160.98259999999999</v>
      </c>
      <c r="K21" s="12">
        <v>53.202240000000003</v>
      </c>
      <c r="L21" s="12">
        <v>62.300159999999998</v>
      </c>
      <c r="M21" s="12">
        <v>88.657920000000004</v>
      </c>
      <c r="N21" s="12">
        <v>62.496200000000002</v>
      </c>
      <c r="O21" s="12">
        <v>92.807000000000002</v>
      </c>
      <c r="P21" s="12">
        <v>105.4966</v>
      </c>
      <c r="Q21" s="12">
        <v>156.85489999999999</v>
      </c>
      <c r="R21" s="12">
        <v>75.479039999999998</v>
      </c>
      <c r="S21" s="12">
        <v>105.169</v>
      </c>
      <c r="T21" s="12">
        <v>116.402</v>
      </c>
      <c r="U21" s="12">
        <v>80.599999999999994</v>
      </c>
      <c r="V21" s="12">
        <v>90.979200000000006</v>
      </c>
    </row>
    <row r="22" spans="1:22" x14ac:dyDescent="0.4">
      <c r="B22" s="2">
        <v>1</v>
      </c>
      <c r="C22" s="12">
        <v>434.589</v>
      </c>
      <c r="D22" s="12">
        <v>398.59870000000001</v>
      </c>
      <c r="E22" s="12">
        <v>499.22030000000001</v>
      </c>
      <c r="F22" s="12">
        <v>578.19269999999995</v>
      </c>
      <c r="G22" s="12">
        <v>484.37529999999998</v>
      </c>
      <c r="H22" s="12">
        <v>205.48480000000001</v>
      </c>
      <c r="I22" s="12">
        <v>180.33600000000001</v>
      </c>
      <c r="J22" s="12">
        <v>559.33699999999999</v>
      </c>
      <c r="K22" s="12">
        <v>362.101</v>
      </c>
      <c r="L22" s="12">
        <v>303.7133</v>
      </c>
      <c r="M22" s="12">
        <v>288.19229999999999</v>
      </c>
      <c r="N22" s="12">
        <v>122.4496</v>
      </c>
      <c r="O22" s="12">
        <v>572.54600000000005</v>
      </c>
      <c r="P22" s="12">
        <v>220.3391</v>
      </c>
      <c r="Q22" s="12">
        <v>547.98019999999997</v>
      </c>
      <c r="R22" s="12">
        <v>300.69729999999998</v>
      </c>
      <c r="S22" s="12">
        <v>262.58539999999999</v>
      </c>
      <c r="T22" s="12">
        <v>250.69820000000001</v>
      </c>
      <c r="U22" s="12">
        <v>207.08430000000001</v>
      </c>
      <c r="V22" s="12">
        <v>267.31330000000003</v>
      </c>
    </row>
    <row r="23" spans="1:22" x14ac:dyDescent="0.4">
      <c r="B23" s="2">
        <v>2</v>
      </c>
      <c r="C23" s="12">
        <v>746.02940000000001</v>
      </c>
      <c r="D23" s="12">
        <v>1056.25</v>
      </c>
      <c r="E23" s="12">
        <v>1027.798</v>
      </c>
      <c r="F23" s="12">
        <v>1081.473</v>
      </c>
      <c r="G23" s="12">
        <v>927.82870000000003</v>
      </c>
      <c r="H23" s="12">
        <v>894.01</v>
      </c>
      <c r="I23" s="12">
        <v>732.27800000000002</v>
      </c>
      <c r="J23" s="12">
        <v>742.02539999999999</v>
      </c>
      <c r="K23" s="12">
        <v>499.40800000000002</v>
      </c>
      <c r="L23" s="12">
        <v>517.57060000000001</v>
      </c>
      <c r="M23" s="12">
        <v>728.09100000000001</v>
      </c>
      <c r="N23" s="12">
        <v>789.26850000000002</v>
      </c>
      <c r="O23" s="12">
        <v>759.90880000000004</v>
      </c>
      <c r="P23" s="12">
        <v>574.31920000000002</v>
      </c>
      <c r="Q23" s="12">
        <v>611.33900000000006</v>
      </c>
      <c r="R23" s="12">
        <v>369.20830000000001</v>
      </c>
      <c r="S23" s="12">
        <v>308.30540000000002</v>
      </c>
      <c r="T23" s="12">
        <v>266.02370000000002</v>
      </c>
      <c r="U23" s="12">
        <v>213.99870000000001</v>
      </c>
      <c r="V23" s="12">
        <v>318.17970000000003</v>
      </c>
    </row>
    <row r="25" spans="1:22" x14ac:dyDescent="0.3">
      <c r="E25" s="21" t="s">
        <v>83</v>
      </c>
      <c r="F25" s="21"/>
      <c r="G25" s="21"/>
      <c r="H25" s="21"/>
    </row>
    <row r="26" spans="1:22" x14ac:dyDescent="0.3">
      <c r="E26" s="2" t="s">
        <v>77</v>
      </c>
      <c r="F26" s="2" t="s">
        <v>174</v>
      </c>
      <c r="G26" s="2" t="s">
        <v>176</v>
      </c>
      <c r="H26" s="2" t="s">
        <v>178</v>
      </c>
    </row>
    <row r="27" spans="1:22" x14ac:dyDescent="0.4">
      <c r="E27" s="12">
        <v>746.02940000000001</v>
      </c>
      <c r="F27" s="12">
        <v>894.01</v>
      </c>
      <c r="G27" s="12">
        <v>728.09100000000001</v>
      </c>
      <c r="H27" s="12">
        <v>369.20830000000001</v>
      </c>
    </row>
    <row r="28" spans="1:22" x14ac:dyDescent="0.4">
      <c r="E28" s="12">
        <v>1056.25</v>
      </c>
      <c r="F28" s="12">
        <v>732.27800000000002</v>
      </c>
      <c r="G28" s="12">
        <v>789.26850000000002</v>
      </c>
      <c r="H28" s="12">
        <v>308.30540000000002</v>
      </c>
    </row>
    <row r="29" spans="1:22" x14ac:dyDescent="0.4">
      <c r="E29" s="12">
        <v>1027.798</v>
      </c>
      <c r="F29" s="12">
        <v>742.02539999999999</v>
      </c>
      <c r="G29" s="12">
        <v>759.90880000000004</v>
      </c>
      <c r="H29" s="12">
        <v>266.02370000000002</v>
      </c>
    </row>
    <row r="30" spans="1:22" x14ac:dyDescent="0.4">
      <c r="E30" s="12">
        <v>1081.473</v>
      </c>
      <c r="F30" s="12">
        <v>499.40800000000002</v>
      </c>
      <c r="G30" s="12">
        <v>574.31920000000002</v>
      </c>
      <c r="H30" s="12">
        <v>213.99870000000001</v>
      </c>
    </row>
    <row r="31" spans="1:22" x14ac:dyDescent="0.4">
      <c r="E31" s="12">
        <v>927.82870000000003</v>
      </c>
      <c r="F31" s="12">
        <v>517.57060000000001</v>
      </c>
      <c r="G31" s="12">
        <v>611.33900000000006</v>
      </c>
      <c r="H31" s="12">
        <v>318.17970000000003</v>
      </c>
    </row>
    <row r="32" spans="1:22" x14ac:dyDescent="0.3">
      <c r="D32" s="4" t="s">
        <v>143</v>
      </c>
      <c r="E32" s="4">
        <f>AVERAGE(E27:E31)</f>
        <v>967.87581999999998</v>
      </c>
      <c r="F32" s="4">
        <f t="shared" ref="F32:H32" si="2">AVERAGE(F27:F31)</f>
        <v>677.05840000000001</v>
      </c>
      <c r="G32" s="4">
        <f t="shared" si="2"/>
        <v>692.58529999999996</v>
      </c>
      <c r="H32" s="4">
        <f t="shared" si="2"/>
        <v>295.14315999999997</v>
      </c>
    </row>
    <row r="33" spans="1:16" x14ac:dyDescent="0.3">
      <c r="D33" s="4" t="s">
        <v>144</v>
      </c>
      <c r="E33" s="4">
        <f>STDEV(E27:E31)</f>
        <v>137.04432543677925</v>
      </c>
      <c r="F33" s="4">
        <f t="shared" ref="F33:H33" si="3">STDEV(F27:F31)</f>
        <v>166.83370090056792</v>
      </c>
      <c r="G33" s="4">
        <f t="shared" si="3"/>
        <v>94.510027536606373</v>
      </c>
      <c r="H33" s="4">
        <f t="shared" si="3"/>
        <v>58.356529282489163</v>
      </c>
    </row>
    <row r="35" spans="1:16" x14ac:dyDescent="0.3">
      <c r="A35" s="16" t="s">
        <v>185</v>
      </c>
      <c r="C35" s="21" t="s">
        <v>82</v>
      </c>
      <c r="D35" s="21"/>
      <c r="E35" s="21"/>
      <c r="F35" s="21"/>
      <c r="G35" s="21"/>
      <c r="H35" s="21"/>
      <c r="J35" s="16" t="s">
        <v>191</v>
      </c>
      <c r="K35" s="21" t="s">
        <v>83</v>
      </c>
      <c r="L35" s="21"/>
      <c r="M35" s="21"/>
      <c r="N35" s="21"/>
      <c r="O35" s="21"/>
      <c r="P35" s="21"/>
    </row>
    <row r="36" spans="1:16" x14ac:dyDescent="0.3">
      <c r="C36" s="22" t="s">
        <v>15</v>
      </c>
      <c r="D36" s="22"/>
      <c r="E36" s="22"/>
      <c r="F36" s="22"/>
      <c r="G36" s="22"/>
      <c r="H36" s="22"/>
      <c r="K36" s="22" t="s">
        <v>15</v>
      </c>
      <c r="L36" s="22"/>
      <c r="M36" s="22"/>
      <c r="N36" s="22"/>
      <c r="O36" s="22"/>
      <c r="P36" s="22"/>
    </row>
    <row r="37" spans="1:16" x14ac:dyDescent="0.3">
      <c r="C37" s="2" t="s">
        <v>181</v>
      </c>
      <c r="D37" s="2">
        <v>129.6396</v>
      </c>
      <c r="E37" s="2">
        <v>94.011840000000007</v>
      </c>
      <c r="F37" s="2">
        <v>70.686719999999994</v>
      </c>
      <c r="G37" s="2">
        <v>118.2636</v>
      </c>
      <c r="H37" s="2">
        <v>55.036799999999999</v>
      </c>
      <c r="K37" s="2" t="s">
        <v>181</v>
      </c>
      <c r="L37" s="2">
        <v>101.23779999999999</v>
      </c>
      <c r="M37" s="2">
        <v>76.677120000000002</v>
      </c>
      <c r="N37" s="2">
        <v>98.733959999999996</v>
      </c>
      <c r="O37" s="2">
        <v>106.964</v>
      </c>
      <c r="P37" s="2">
        <v>108.0903</v>
      </c>
    </row>
    <row r="38" spans="1:16" x14ac:dyDescent="0.3">
      <c r="C38" s="2">
        <v>1</v>
      </c>
      <c r="D38" s="2">
        <v>225.43350000000001</v>
      </c>
      <c r="E38" s="2">
        <v>379.45699999999999</v>
      </c>
      <c r="F38" s="2">
        <v>533.30211999999995</v>
      </c>
      <c r="G38" s="2">
        <v>428.36770000000001</v>
      </c>
      <c r="H38" s="2">
        <v>469.6474</v>
      </c>
      <c r="K38" s="2">
        <v>1</v>
      </c>
      <c r="L38" s="2">
        <v>434.589</v>
      </c>
      <c r="M38" s="2">
        <v>398.59870000000001</v>
      </c>
      <c r="N38" s="2">
        <v>499.22030000000001</v>
      </c>
      <c r="O38" s="2">
        <v>578.19269999999995</v>
      </c>
      <c r="P38" s="2">
        <v>484.37529999999998</v>
      </c>
    </row>
    <row r="39" spans="1:16" x14ac:dyDescent="0.3">
      <c r="C39" s="2">
        <v>2</v>
      </c>
      <c r="D39" s="2">
        <v>1038.4549999999999</v>
      </c>
      <c r="E39" s="2">
        <v>1081.0909999999999</v>
      </c>
      <c r="F39" s="2">
        <v>1240.39708</v>
      </c>
      <c r="G39" s="2">
        <v>889.78499999999997</v>
      </c>
      <c r="H39" s="2">
        <v>744.18499999999995</v>
      </c>
      <c r="K39" s="2">
        <v>2</v>
      </c>
      <c r="L39" s="2">
        <v>746.02940000000001</v>
      </c>
      <c r="M39" s="2">
        <v>1056.25</v>
      </c>
      <c r="N39" s="2">
        <v>1027.798</v>
      </c>
      <c r="O39" s="2">
        <v>1081.473</v>
      </c>
      <c r="P39" s="2">
        <v>927.82870000000003</v>
      </c>
    </row>
    <row r="41" spans="1:16" x14ac:dyDescent="0.3">
      <c r="C41" s="22" t="s">
        <v>175</v>
      </c>
      <c r="D41" s="22"/>
      <c r="E41" s="22"/>
      <c r="F41" s="22"/>
      <c r="G41" s="22"/>
      <c r="H41" s="22"/>
      <c r="K41" s="22" t="s">
        <v>175</v>
      </c>
      <c r="L41" s="22"/>
      <c r="M41" s="22"/>
      <c r="N41" s="22"/>
      <c r="O41" s="22"/>
      <c r="P41" s="22"/>
    </row>
    <row r="42" spans="1:16" x14ac:dyDescent="0.3">
      <c r="C42" s="2" t="s">
        <v>181</v>
      </c>
      <c r="D42" s="2">
        <v>153.79</v>
      </c>
      <c r="E42" s="2">
        <v>131.5746</v>
      </c>
      <c r="F42" s="2">
        <v>86.430239999999998</v>
      </c>
      <c r="G42" s="2">
        <v>107.6275</v>
      </c>
      <c r="H42" s="2">
        <v>64.233000000000004</v>
      </c>
      <c r="K42" s="2" t="s">
        <v>181</v>
      </c>
      <c r="L42" s="2">
        <v>151.91489999999999</v>
      </c>
      <c r="M42" s="2">
        <v>115.8477</v>
      </c>
      <c r="N42" s="2">
        <v>160.98259999999999</v>
      </c>
      <c r="O42" s="2">
        <v>53.202240000000003</v>
      </c>
      <c r="P42" s="2">
        <v>62.300159999999998</v>
      </c>
    </row>
    <row r="43" spans="1:16" x14ac:dyDescent="0.3">
      <c r="C43" s="2">
        <v>1</v>
      </c>
      <c r="D43" s="2">
        <v>249.7295</v>
      </c>
      <c r="E43" s="2">
        <v>464.60700000000003</v>
      </c>
      <c r="F43" s="2">
        <v>546.36559999999997</v>
      </c>
      <c r="G43" s="2">
        <v>304.19380000000001</v>
      </c>
      <c r="H43" s="2">
        <v>279.09750000000003</v>
      </c>
      <c r="K43" s="2">
        <v>1</v>
      </c>
      <c r="L43" s="2">
        <v>205.48480000000001</v>
      </c>
      <c r="M43" s="2">
        <v>180.33600000000001</v>
      </c>
      <c r="N43" s="2">
        <v>559.33699999999999</v>
      </c>
      <c r="O43" s="2">
        <v>362.101</v>
      </c>
      <c r="P43" s="2">
        <v>303.7133</v>
      </c>
    </row>
    <row r="44" spans="1:16" x14ac:dyDescent="0.3">
      <c r="C44" s="2">
        <v>2</v>
      </c>
      <c r="D44" s="2">
        <v>967.46</v>
      </c>
      <c r="E44" s="2">
        <v>692.49019999999996</v>
      </c>
      <c r="F44" s="2">
        <v>673.24609999999996</v>
      </c>
      <c r="G44" s="2">
        <v>536.95619999999997</v>
      </c>
      <c r="H44" s="2">
        <v>411.51339999999999</v>
      </c>
      <c r="K44" s="2">
        <v>2</v>
      </c>
      <c r="L44" s="2">
        <v>894.01</v>
      </c>
      <c r="M44" s="2">
        <v>732.27800000000002</v>
      </c>
      <c r="N44" s="2">
        <v>742.02539999999999</v>
      </c>
      <c r="O44" s="2">
        <v>499.40800000000002</v>
      </c>
      <c r="P44" s="2">
        <v>517.57060000000001</v>
      </c>
    </row>
    <row r="46" spans="1:16" x14ac:dyDescent="0.3">
      <c r="C46" s="22" t="s">
        <v>177</v>
      </c>
      <c r="D46" s="22"/>
      <c r="E46" s="22"/>
      <c r="F46" s="22"/>
      <c r="G46" s="22"/>
      <c r="H46" s="22"/>
      <c r="K46" s="22" t="s">
        <v>177</v>
      </c>
      <c r="L46" s="22"/>
      <c r="M46" s="22"/>
      <c r="N46" s="22"/>
      <c r="O46" s="22"/>
      <c r="P46" s="22"/>
    </row>
    <row r="47" spans="1:16" x14ac:dyDescent="0.3">
      <c r="C47" s="2" t="s">
        <v>181</v>
      </c>
      <c r="D47" s="2">
        <v>104.04989999999999</v>
      </c>
      <c r="E47" s="2">
        <v>83.2</v>
      </c>
      <c r="F47" s="2">
        <v>92.951040000000006</v>
      </c>
      <c r="G47" s="2">
        <v>99.326239999999999</v>
      </c>
      <c r="H47" s="2">
        <v>136.65600000000001</v>
      </c>
      <c r="K47" s="2" t="s">
        <v>181</v>
      </c>
      <c r="L47" s="2">
        <v>88.657920000000004</v>
      </c>
      <c r="M47" s="2">
        <v>62.496200000000002</v>
      </c>
      <c r="N47" s="2">
        <v>92.807000000000002</v>
      </c>
      <c r="O47" s="2">
        <v>105.4966</v>
      </c>
      <c r="P47" s="2">
        <v>156.85489999999999</v>
      </c>
    </row>
    <row r="48" spans="1:16" x14ac:dyDescent="0.3">
      <c r="C48" s="2">
        <v>1</v>
      </c>
      <c r="D48" s="2">
        <v>135.34979999999999</v>
      </c>
      <c r="E48" s="2">
        <v>291.05860000000001</v>
      </c>
      <c r="F48" s="2">
        <v>416.01089999999999</v>
      </c>
      <c r="G48" s="2">
        <v>224.0909</v>
      </c>
      <c r="H48" s="2">
        <v>489.26799999999997</v>
      </c>
      <c r="K48" s="2">
        <v>1</v>
      </c>
      <c r="L48" s="2">
        <v>288.19229999999999</v>
      </c>
      <c r="M48" s="2">
        <v>122.4496</v>
      </c>
      <c r="N48" s="2">
        <v>572.54600000000005</v>
      </c>
      <c r="O48" s="2">
        <v>220.3391</v>
      </c>
      <c r="P48" s="2">
        <v>547.98019999999997</v>
      </c>
    </row>
    <row r="49" spans="1:16" x14ac:dyDescent="0.3">
      <c r="C49" s="2">
        <v>2</v>
      </c>
      <c r="D49" s="2">
        <v>629.20000000000005</v>
      </c>
      <c r="E49" s="2">
        <v>697.50720000000001</v>
      </c>
      <c r="F49" s="2">
        <v>810.06539999999995</v>
      </c>
      <c r="G49" s="2">
        <v>647.82899999999995</v>
      </c>
      <c r="H49" s="2">
        <v>531.94749999999999</v>
      </c>
      <c r="K49" s="2">
        <v>2</v>
      </c>
      <c r="L49" s="2">
        <v>728.09100000000001</v>
      </c>
      <c r="M49" s="2">
        <v>789.26850000000002</v>
      </c>
      <c r="N49" s="2">
        <v>759.90880000000004</v>
      </c>
      <c r="O49" s="2">
        <v>574.31920000000002</v>
      </c>
      <c r="P49" s="2">
        <v>611.33900000000006</v>
      </c>
    </row>
    <row r="51" spans="1:16" x14ac:dyDescent="0.3">
      <c r="C51" s="22" t="s">
        <v>186</v>
      </c>
      <c r="D51" s="22"/>
      <c r="E51" s="22"/>
      <c r="F51" s="22"/>
      <c r="G51" s="22"/>
      <c r="H51" s="22"/>
      <c r="K51" s="22" t="s">
        <v>186</v>
      </c>
      <c r="L51" s="22"/>
      <c r="M51" s="22"/>
      <c r="N51" s="22"/>
      <c r="O51" s="22"/>
      <c r="P51" s="22"/>
    </row>
    <row r="52" spans="1:16" x14ac:dyDescent="0.3">
      <c r="C52" s="2" t="s">
        <v>181</v>
      </c>
      <c r="D52" s="2">
        <v>92.3</v>
      </c>
      <c r="E52" s="2">
        <v>91.395200000000003</v>
      </c>
      <c r="F52" s="2">
        <v>66.171559999999999</v>
      </c>
      <c r="G52" s="2">
        <v>42.000920000000001</v>
      </c>
      <c r="H52" s="2">
        <v>156.39680000000001</v>
      </c>
      <c r="K52" s="2" t="s">
        <v>181</v>
      </c>
      <c r="L52" s="2">
        <v>75.479039999999998</v>
      </c>
      <c r="M52" s="2">
        <v>105.169</v>
      </c>
      <c r="N52" s="2">
        <v>116.402</v>
      </c>
      <c r="O52" s="2">
        <v>80.599999999999994</v>
      </c>
      <c r="P52" s="2">
        <v>90.979200000000006</v>
      </c>
    </row>
    <row r="53" spans="1:16" x14ac:dyDescent="0.3">
      <c r="C53" s="2">
        <v>1</v>
      </c>
      <c r="D53" s="2">
        <v>231.82849999999999</v>
      </c>
      <c r="E53" s="2">
        <v>191.411</v>
      </c>
      <c r="F53" s="2">
        <v>216.4032</v>
      </c>
      <c r="G53" s="2">
        <v>88.644919999999999</v>
      </c>
      <c r="H53" s="2">
        <v>204.46299999999999</v>
      </c>
      <c r="K53" s="2">
        <v>1</v>
      </c>
      <c r="L53" s="2">
        <v>300.69729999999998</v>
      </c>
      <c r="M53" s="2">
        <v>262.58539999999999</v>
      </c>
      <c r="N53" s="2">
        <v>250.69820000000001</v>
      </c>
      <c r="O53" s="2">
        <v>207.08430000000001</v>
      </c>
      <c r="P53" s="2">
        <v>267.31330000000003</v>
      </c>
    </row>
    <row r="54" spans="1:16" x14ac:dyDescent="0.3">
      <c r="C54" s="2">
        <v>2</v>
      </c>
      <c r="D54" s="2">
        <v>385.71620000000001</v>
      </c>
      <c r="E54" s="2">
        <v>258.30270000000002</v>
      </c>
      <c r="F54" s="2">
        <v>189.89359999999999</v>
      </c>
      <c r="G54" s="2">
        <v>368.18599999999998</v>
      </c>
      <c r="H54" s="2">
        <v>226.02109999999999</v>
      </c>
      <c r="K54" s="2">
        <v>2</v>
      </c>
      <c r="L54" s="2">
        <v>369.20830000000001</v>
      </c>
      <c r="M54" s="2">
        <v>308.30540000000002</v>
      </c>
      <c r="N54" s="2">
        <v>266.02370000000002</v>
      </c>
      <c r="O54" s="2">
        <v>213.99870000000001</v>
      </c>
      <c r="P54" s="2">
        <v>318.17970000000003</v>
      </c>
    </row>
    <row r="62" spans="1:16" x14ac:dyDescent="0.3">
      <c r="A62" s="16" t="s">
        <v>180</v>
      </c>
      <c r="C62" s="21" t="s">
        <v>82</v>
      </c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</row>
    <row r="63" spans="1:16" x14ac:dyDescent="0.3">
      <c r="C63" s="22" t="s">
        <v>80</v>
      </c>
      <c r="D63" s="22"/>
      <c r="E63" s="22"/>
      <c r="F63" s="22"/>
      <c r="H63" s="2" t="s">
        <v>81</v>
      </c>
      <c r="M63" s="22" t="s">
        <v>171</v>
      </c>
      <c r="N63" s="22"/>
      <c r="O63" s="22"/>
      <c r="P63" s="22"/>
    </row>
    <row r="64" spans="1:16" x14ac:dyDescent="0.3">
      <c r="C64" s="2" t="s">
        <v>77</v>
      </c>
      <c r="D64" s="2" t="s">
        <v>174</v>
      </c>
      <c r="E64" s="2" t="s">
        <v>176</v>
      </c>
      <c r="F64" s="2" t="s">
        <v>178</v>
      </c>
      <c r="H64" s="2" t="s">
        <v>77</v>
      </c>
      <c r="I64" s="2" t="s">
        <v>174</v>
      </c>
      <c r="J64" s="2" t="s">
        <v>176</v>
      </c>
      <c r="K64" s="2" t="s">
        <v>178</v>
      </c>
      <c r="M64" s="2" t="s">
        <v>77</v>
      </c>
      <c r="N64" s="2" t="s">
        <v>174</v>
      </c>
      <c r="O64" s="2" t="s">
        <v>176</v>
      </c>
      <c r="P64" s="2" t="s">
        <v>178</v>
      </c>
    </row>
    <row r="65" spans="2:16" x14ac:dyDescent="0.4">
      <c r="C65" s="12">
        <v>0.97599999999999998</v>
      </c>
      <c r="D65" s="12">
        <v>0.73599999999999999</v>
      </c>
      <c r="E65" s="12">
        <v>0.69599999999999995</v>
      </c>
      <c r="F65" s="12">
        <v>0.20799999999999999</v>
      </c>
      <c r="H65" s="12">
        <v>1.0582959999999999</v>
      </c>
      <c r="I65" s="12">
        <v>0.73542600000000002</v>
      </c>
      <c r="J65" s="12">
        <v>0.78026899999999999</v>
      </c>
      <c r="K65" s="12">
        <v>0.18834100000000001</v>
      </c>
      <c r="M65" s="12">
        <v>1.089498189</v>
      </c>
      <c r="N65" s="12">
        <v>0.80082772899999999</v>
      </c>
      <c r="O65" s="12">
        <v>0.86445939000000005</v>
      </c>
      <c r="P65" s="12">
        <v>0.59596482200000001</v>
      </c>
    </row>
    <row r="66" spans="2:16" x14ac:dyDescent="0.4">
      <c r="C66" s="12">
        <v>1.2106669999999999</v>
      </c>
      <c r="D66" s="12">
        <v>0.61866699999999997</v>
      </c>
      <c r="E66" s="12">
        <v>0.95199999999999996</v>
      </c>
      <c r="F66" s="12">
        <v>0.32800000000000001</v>
      </c>
      <c r="H66" s="12">
        <v>1.085202</v>
      </c>
      <c r="I66" s="12">
        <v>0.72645700000000002</v>
      </c>
      <c r="J66" s="12">
        <v>0.69506699999999999</v>
      </c>
      <c r="K66" s="12">
        <v>0.19730900000000001</v>
      </c>
      <c r="M66" s="12">
        <v>1.01810657</v>
      </c>
      <c r="N66" s="12">
        <v>0.79306776999999995</v>
      </c>
      <c r="O66" s="12">
        <v>0.99172271099999998</v>
      </c>
      <c r="P66" s="12">
        <v>0.591308846</v>
      </c>
    </row>
    <row r="67" spans="2:16" x14ac:dyDescent="0.4">
      <c r="C67" s="12">
        <v>0.81333299999999997</v>
      </c>
      <c r="D67" s="12">
        <v>0.72799999999999998</v>
      </c>
      <c r="E67" s="12">
        <v>0.94399999999999995</v>
      </c>
      <c r="F67" s="12">
        <v>0.27200000000000002</v>
      </c>
      <c r="H67" s="12">
        <v>0.85650199999999999</v>
      </c>
      <c r="I67" s="12">
        <v>0.58296000000000003</v>
      </c>
      <c r="J67" s="12">
        <v>0.65919300000000003</v>
      </c>
      <c r="K67" s="12">
        <v>0.22869999999999999</v>
      </c>
      <c r="M67" s="12">
        <v>0.89239524100000001</v>
      </c>
      <c r="N67" s="12">
        <v>0.70770822600000005</v>
      </c>
      <c r="O67" s="12">
        <v>0.84273150500000005</v>
      </c>
      <c r="P67" s="12">
        <v>0.44231764099999998</v>
      </c>
    </row>
    <row r="69" spans="2:16" x14ac:dyDescent="0.3">
      <c r="B69" s="20" t="s">
        <v>143</v>
      </c>
      <c r="C69" s="4">
        <f>AVERAGE(C65:C67)</f>
        <v>1</v>
      </c>
      <c r="D69" s="4">
        <f t="shared" ref="D69:K69" si="4">AVERAGE(D65:D67)</f>
        <v>0.69422233333333327</v>
      </c>
      <c r="E69" s="4">
        <f t="shared" si="4"/>
        <v>0.86399999999999988</v>
      </c>
      <c r="F69" s="4">
        <f t="shared" si="4"/>
        <v>0.26933333333333337</v>
      </c>
      <c r="G69" s="20" t="s">
        <v>143</v>
      </c>
      <c r="H69" s="4">
        <f t="shared" si="4"/>
        <v>1</v>
      </c>
      <c r="I69" s="4">
        <f t="shared" si="4"/>
        <v>0.68161433333333343</v>
      </c>
      <c r="J69" s="4">
        <f t="shared" si="4"/>
        <v>0.71150966666666671</v>
      </c>
      <c r="K69" s="4">
        <f t="shared" si="4"/>
        <v>0.20478333333333334</v>
      </c>
      <c r="L69" s="20" t="s">
        <v>143</v>
      </c>
      <c r="M69" s="4">
        <f>AVERAGE(M65:M67)</f>
        <v>1</v>
      </c>
      <c r="N69" s="4">
        <f t="shared" ref="N69:P69" si="5">AVERAGE(N65:N67)</f>
        <v>0.76720124166666659</v>
      </c>
      <c r="O69" s="4">
        <f t="shared" si="5"/>
        <v>0.89963786866666673</v>
      </c>
      <c r="P69" s="4">
        <f t="shared" si="5"/>
        <v>0.54319710300000001</v>
      </c>
    </row>
    <row r="70" spans="2:16" x14ac:dyDescent="0.3">
      <c r="B70" s="20" t="s">
        <v>144</v>
      </c>
      <c r="C70" s="4">
        <f>STDEV(C65:C67)</f>
        <v>0.19975128757782751</v>
      </c>
      <c r="D70" s="4">
        <f t="shared" ref="D70:K70" si="6">STDEV(D65:D67)</f>
        <v>6.5554986815141186E-2</v>
      </c>
      <c r="E70" s="4">
        <f t="shared" si="6"/>
        <v>0.14554724318928308</v>
      </c>
      <c r="F70" s="4">
        <f t="shared" si="6"/>
        <v>6.0044427995721093E-2</v>
      </c>
      <c r="G70" s="20" t="s">
        <v>144</v>
      </c>
      <c r="H70" s="4">
        <f t="shared" si="6"/>
        <v>0.12499896084368062</v>
      </c>
      <c r="I70" s="4">
        <f t="shared" si="6"/>
        <v>8.5554771078726513E-2</v>
      </c>
      <c r="J70" s="4">
        <f t="shared" si="6"/>
        <v>6.2190195443762128E-2</v>
      </c>
      <c r="K70" s="4">
        <f t="shared" si="6"/>
        <v>2.1192250100764025E-2</v>
      </c>
      <c r="L70" s="20" t="s">
        <v>144</v>
      </c>
      <c r="M70" s="4">
        <f>STDEV(M65:M67)</f>
        <v>9.9791176641255946E-2</v>
      </c>
      <c r="N70" s="4">
        <f t="shared" ref="N70:P70" si="7">STDEV(N65:N67)</f>
        <v>5.1668350329346684E-2</v>
      </c>
      <c r="O70" s="4">
        <f t="shared" si="7"/>
        <v>8.0484401515507606E-2</v>
      </c>
      <c r="P70" s="4">
        <f t="shared" si="7"/>
        <v>8.7395188186680337E-2</v>
      </c>
    </row>
    <row r="75" spans="2:16" x14ac:dyDescent="0.3">
      <c r="C75" s="21" t="s">
        <v>83</v>
      </c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</row>
    <row r="76" spans="2:16" x14ac:dyDescent="0.3">
      <c r="C76" s="14" t="s">
        <v>80</v>
      </c>
      <c r="D76" s="14"/>
      <c r="E76" s="14"/>
      <c r="F76" s="14"/>
      <c r="H76" s="14" t="s">
        <v>81</v>
      </c>
      <c r="I76" s="14"/>
      <c r="J76" s="14"/>
      <c r="K76" s="14"/>
      <c r="M76" s="14" t="s">
        <v>171</v>
      </c>
      <c r="N76" s="14"/>
      <c r="O76" s="14"/>
      <c r="P76" s="14"/>
    </row>
    <row r="77" spans="2:16" x14ac:dyDescent="0.3">
      <c r="C77" s="2" t="s">
        <v>77</v>
      </c>
      <c r="D77" s="2" t="s">
        <v>174</v>
      </c>
      <c r="E77" s="2" t="s">
        <v>176</v>
      </c>
      <c r="F77" s="2" t="s">
        <v>178</v>
      </c>
      <c r="H77" s="2" t="s">
        <v>77</v>
      </c>
      <c r="I77" s="2" t="s">
        <v>174</v>
      </c>
      <c r="J77" s="2" t="s">
        <v>176</v>
      </c>
      <c r="K77" s="2" t="s">
        <v>178</v>
      </c>
      <c r="M77" s="2" t="s">
        <v>77</v>
      </c>
      <c r="N77" s="2" t="s">
        <v>174</v>
      </c>
      <c r="O77" s="2" t="s">
        <v>176</v>
      </c>
      <c r="P77" s="2" t="s">
        <v>178</v>
      </c>
    </row>
    <row r="78" spans="2:16" x14ac:dyDescent="0.4">
      <c r="C78" s="12">
        <v>1.003263</v>
      </c>
      <c r="D78" s="12">
        <v>0.633768</v>
      </c>
      <c r="E78" s="12">
        <v>0.63132100000000002</v>
      </c>
      <c r="F78" s="12">
        <v>0.24225099999999999</v>
      </c>
      <c r="H78" s="12">
        <v>1.1401730000000001</v>
      </c>
      <c r="I78" s="12">
        <v>0.61127200000000004</v>
      </c>
      <c r="J78" s="12">
        <v>0.81936399999999998</v>
      </c>
      <c r="K78" s="12">
        <v>0.26878600000000002</v>
      </c>
      <c r="M78" s="12">
        <v>1.0614469769999999</v>
      </c>
      <c r="N78" s="12">
        <v>0.61100099100000005</v>
      </c>
      <c r="O78" s="12">
        <v>0.79534192299999995</v>
      </c>
      <c r="P78" s="12">
        <v>0.50842418199999995</v>
      </c>
    </row>
    <row r="79" spans="2:16" x14ac:dyDescent="0.4">
      <c r="C79" s="12">
        <v>0.93964099999999995</v>
      </c>
      <c r="D79" s="12">
        <v>0.66068499999999997</v>
      </c>
      <c r="E79" s="12">
        <v>0.98368699999999998</v>
      </c>
      <c r="F79" s="12">
        <v>0.29363800000000001</v>
      </c>
      <c r="H79" s="12">
        <v>0.96676300000000004</v>
      </c>
      <c r="I79" s="12">
        <v>0.83237000000000005</v>
      </c>
      <c r="J79" s="12">
        <v>0.74566500000000002</v>
      </c>
      <c r="K79" s="12">
        <v>0.27745700000000001</v>
      </c>
      <c r="M79" s="12">
        <v>1.0703666999999999</v>
      </c>
      <c r="N79" s="12">
        <v>0.77601585699999998</v>
      </c>
      <c r="O79" s="12">
        <v>0.85183349900000005</v>
      </c>
      <c r="P79" s="12">
        <v>0.45490584699999997</v>
      </c>
    </row>
    <row r="80" spans="2:16" x14ac:dyDescent="0.4">
      <c r="C80" s="12">
        <v>1.057096</v>
      </c>
      <c r="D80" s="12">
        <v>0.65334400000000004</v>
      </c>
      <c r="E80" s="12">
        <v>0.81484500000000004</v>
      </c>
      <c r="F80" s="12">
        <v>0.18352399999999999</v>
      </c>
      <c r="H80" s="12">
        <v>0.89306399999999997</v>
      </c>
      <c r="I80" s="12">
        <v>0.69797699999999996</v>
      </c>
      <c r="J80" s="12">
        <v>0.65895999999999999</v>
      </c>
      <c r="K80" s="12">
        <v>0.18208099999999999</v>
      </c>
      <c r="M80" s="12">
        <v>0.86818632299999998</v>
      </c>
      <c r="N80" s="12">
        <v>0.80723488600000004</v>
      </c>
      <c r="O80" s="12">
        <v>0.81466798799999995</v>
      </c>
      <c r="P80" s="12">
        <v>0.521803766</v>
      </c>
    </row>
    <row r="82" spans="2:16" x14ac:dyDescent="0.3">
      <c r="B82" s="20" t="s">
        <v>143</v>
      </c>
      <c r="C82" s="4">
        <f>AVERAGE(C78:C80)</f>
        <v>1</v>
      </c>
      <c r="D82" s="4">
        <f t="shared" ref="D82:K82" si="8">AVERAGE(D78:D80)</f>
        <v>0.64926566666666663</v>
      </c>
      <c r="E82" s="4">
        <f t="shared" si="8"/>
        <v>0.80995099999999998</v>
      </c>
      <c r="F82" s="4">
        <f t="shared" si="8"/>
        <v>0.23980433333333337</v>
      </c>
      <c r="G82" s="20" t="s">
        <v>143</v>
      </c>
      <c r="H82" s="4">
        <f t="shared" si="8"/>
        <v>1</v>
      </c>
      <c r="I82" s="4">
        <f t="shared" si="8"/>
        <v>0.71387299999999998</v>
      </c>
      <c r="J82" s="4">
        <f t="shared" si="8"/>
        <v>0.74132966666666666</v>
      </c>
      <c r="K82" s="4">
        <f t="shared" si="8"/>
        <v>0.24277466666666667</v>
      </c>
      <c r="L82" s="20" t="s">
        <v>143</v>
      </c>
      <c r="M82" s="4">
        <f>AVERAGE(M78:M80)</f>
        <v>1</v>
      </c>
      <c r="N82" s="4">
        <f t="shared" ref="N82:P82" si="9">AVERAGE(N78:N80)</f>
        <v>0.73141724466666658</v>
      </c>
      <c r="O82" s="4">
        <f t="shared" si="9"/>
        <v>0.8206144700000001</v>
      </c>
      <c r="P82" s="4">
        <f t="shared" si="9"/>
        <v>0.49504459833333331</v>
      </c>
    </row>
    <row r="83" spans="2:16" x14ac:dyDescent="0.3">
      <c r="B83" s="20" t="s">
        <v>144</v>
      </c>
      <c r="C83" s="4">
        <f>STDEV(C78:C80)</f>
        <v>5.8795447383279645E-2</v>
      </c>
      <c r="D83" s="4">
        <f t="shared" ref="D83:K83" si="10">STDEV(D78:D80)</f>
        <v>1.3914231000430212E-2</v>
      </c>
      <c r="E83" s="4">
        <f t="shared" si="10"/>
        <v>0.17623397208257038</v>
      </c>
      <c r="F83" s="4">
        <f t="shared" si="10"/>
        <v>5.509775750730074E-2</v>
      </c>
      <c r="G83" s="20" t="s">
        <v>144</v>
      </c>
      <c r="H83" s="4">
        <f t="shared" si="10"/>
        <v>0.12686306829412636</v>
      </c>
      <c r="I83" s="4">
        <f t="shared" si="10"/>
        <v>0.11140284337933211</v>
      </c>
      <c r="J83" s="4">
        <f t="shared" si="10"/>
        <v>8.0289832110506582E-2</v>
      </c>
      <c r="K83" s="4">
        <f t="shared" si="10"/>
        <v>5.2740756918472027E-2</v>
      </c>
      <c r="L83" s="20" t="s">
        <v>144</v>
      </c>
      <c r="M83" s="4">
        <f>STDEV(M78:M80)</f>
        <v>0.11424108038614839</v>
      </c>
      <c r="N83" s="4">
        <f t="shared" ref="N83:P83" si="11">STDEV(N78:N80)</f>
        <v>0.10544530598021959</v>
      </c>
      <c r="O83" s="4">
        <f t="shared" si="11"/>
        <v>2.8711409332758116E-2</v>
      </c>
      <c r="P83" s="4">
        <f t="shared" si="11"/>
        <v>3.5399051342552119E-2</v>
      </c>
    </row>
  </sheetData>
  <mergeCells count="30">
    <mergeCell ref="C75:P75"/>
    <mergeCell ref="C2:V2"/>
    <mergeCell ref="C19:V19"/>
    <mergeCell ref="E8:H8"/>
    <mergeCell ref="E25:H25"/>
    <mergeCell ref="C62:P62"/>
    <mergeCell ref="C36:H36"/>
    <mergeCell ref="C41:H41"/>
    <mergeCell ref="C46:H46"/>
    <mergeCell ref="C51:H51"/>
    <mergeCell ref="K36:P36"/>
    <mergeCell ref="K41:P41"/>
    <mergeCell ref="K46:P46"/>
    <mergeCell ref="K51:P51"/>
    <mergeCell ref="C35:H35"/>
    <mergeCell ref="K35:P35"/>
    <mergeCell ref="C3:G3"/>
    <mergeCell ref="H3:L3"/>
    <mergeCell ref="M3:Q3"/>
    <mergeCell ref="R3:V3"/>
    <mergeCell ref="C63:F63"/>
    <mergeCell ref="M63:P63"/>
    <mergeCell ref="AC12:AG12"/>
    <mergeCell ref="C20:G20"/>
    <mergeCell ref="H20:L20"/>
    <mergeCell ref="M20:Q20"/>
    <mergeCell ref="R20:V20"/>
    <mergeCell ref="N12:R12"/>
    <mergeCell ref="S12:W12"/>
    <mergeCell ref="X12:AB12"/>
  </mergeCells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Figure 1</vt:lpstr>
      <vt:lpstr>Figure 2</vt:lpstr>
      <vt:lpstr>FigureS1</vt:lpstr>
      <vt:lpstr>FigureS2</vt:lpstr>
      <vt:lpstr>FigureS5</vt:lpstr>
      <vt:lpstr>FigureS6</vt:lpstr>
      <vt:lpstr>FigureS12</vt:lpstr>
      <vt:lpstr>FigureS13</vt:lpstr>
      <vt:lpstr>Figure S14</vt:lpstr>
      <vt:lpstr>FigureS15</vt:lpstr>
      <vt:lpstr>FigureS16</vt:lpstr>
      <vt:lpstr>FigureS17</vt:lpstr>
      <vt:lpstr>FigureS18</vt:lpstr>
      <vt:lpstr>FigureS19</vt:lpstr>
      <vt:lpstr>FigureS20</vt:lpstr>
      <vt:lpstr>Figure S21</vt:lpstr>
      <vt:lpstr>Figure S22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Siqi Liu</dc:creator>
  <cp:lastModifiedBy>Siqi Liu</cp:lastModifiedBy>
  <dcterms:created xsi:type="dcterms:W3CDTF">2023-05-12T11:15:00Z</dcterms:created>
  <dcterms:modified xsi:type="dcterms:W3CDTF">2026-02-05T03:10:59Z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B21F250344C6478EBCBF1970CF11AE0D_12</vt:lpwstr>
  </property>
</Properties>
</file>